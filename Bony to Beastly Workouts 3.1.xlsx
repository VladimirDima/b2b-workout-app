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M-UPS" sheetId="1" r:id="rId4"/>
    <sheet state="visible" name="PHASE 0" sheetId="2" r:id="rId5"/>
    <sheet state="visible" name="PHASE 1" sheetId="3" r:id="rId6"/>
    <sheet state="visible" name="PHASE 2" sheetId="4" r:id="rId7"/>
    <sheet state="visible" name="PHASE 3" sheetId="5" r:id="rId8"/>
    <sheet state="visible" name="PHASE 4" sheetId="6" r:id="rId9"/>
    <sheet state="visible" name="WEIGHT TRACKING" sheetId="7" r:id="rId10"/>
    <sheet state="visible" name="LINKS" sheetId="8" r:id="rId11"/>
  </sheets>
  <definedNames>
    <definedName name="ExcerciseLookup">LINKS!$C$8:$H$999</definedName>
  </definedNames>
  <calcPr/>
</workbook>
</file>

<file path=xl/sharedStrings.xml><?xml version="1.0" encoding="utf-8"?>
<sst xmlns="http://schemas.openxmlformats.org/spreadsheetml/2006/main" count="1283" uniqueCount="581">
  <si>
    <t>WARM-UPS</t>
  </si>
  <si>
    <t>FORUM</t>
  </si>
  <si>
    <t>USE WHAT HELPS</t>
  </si>
  <si>
    <t>YOUTUBE</t>
  </si>
  <si>
    <r>
      <rPr>
        <rFont val="Fira Sans Extra Condensed"/>
        <color rgb="FFFFFFFF"/>
        <sz val="10.0"/>
      </rPr>
      <t xml:space="preserve">CORE FOUR </t>
    </r>
    <r>
      <rPr>
        <rFont val="Fira Sans Extra Condensed"/>
        <color rgb="FFFFD547"/>
        <sz val="10.0"/>
      </rPr>
      <t>(RECOMMENDED)</t>
    </r>
  </si>
  <si>
    <t>Hand Walk-Out</t>
  </si>
  <si>
    <t>Get into a plank position and walk your hands in and out</t>
  </si>
  <si>
    <t>Side Plank</t>
  </si>
  <si>
    <t>Take a few breaths, repeat on other side</t>
  </si>
  <si>
    <t>Half-Kneeling Pallof Press Against Wall</t>
  </si>
  <si>
    <t>Mountain Climbers</t>
  </si>
  <si>
    <t>Do a dozen or so to get warmed up</t>
  </si>
  <si>
    <r>
      <rPr>
        <rFont val="Fira Sans Extra Condensed"/>
        <color rgb="FFFFFFFF"/>
        <sz val="10.0"/>
      </rPr>
      <t xml:space="preserve">HIP PREP </t>
    </r>
    <r>
      <rPr>
        <rFont val="Fira Sans Extra Condensed"/>
        <color rgb="FFFFD547"/>
        <sz val="10.0"/>
      </rPr>
      <t>(RECOMMENDED BEFORE SQUATS/DEADLIFTS)</t>
    </r>
  </si>
  <si>
    <t>Bodyweight Glute Bridge</t>
  </si>
  <si>
    <t>Side Lying Leg Lift</t>
  </si>
  <si>
    <t>Do a few to get warmed up</t>
  </si>
  <si>
    <r>
      <rPr>
        <rFont val="Fira Sans Extra Condensed"/>
        <color rgb="FFFFFFFF"/>
        <sz val="10.0"/>
      </rPr>
      <t xml:space="preserve">THE BIG FIVE </t>
    </r>
    <r>
      <rPr>
        <rFont val="Fira Sans Extra Condensed"/>
        <color rgb="FFFFD547"/>
        <sz val="10.0"/>
      </rPr>
      <t xml:space="preserve">(OPTIONAL)   </t>
    </r>
    <r>
      <rPr>
        <rFont val="Fira Sans Extra Condensed"/>
        <color rgb="FFC0D9E0"/>
        <sz val="10.0"/>
      </rPr>
      <t>USE 20 POUND DUMBBELL, KETTLEBELL, OR EMPTY BARBELL</t>
    </r>
  </si>
  <si>
    <t>1-Arm Farmer Carry</t>
  </si>
  <si>
    <t>Walk for a bit, repeat on other side</t>
  </si>
  <si>
    <t>Goblet Squat</t>
  </si>
  <si>
    <t>Bent-Over Row</t>
  </si>
  <si>
    <t>Do a few to get warmed up, repeat on other side</t>
  </si>
  <si>
    <t>Push-Ups</t>
  </si>
  <si>
    <t>Romanian Deadlift</t>
  </si>
  <si>
    <t>Do a few to get warmed up. Do some extra dumbbell sumo deadlifts if you want.</t>
  </si>
  <si>
    <t>PHASE ZERO</t>
  </si>
  <si>
    <t>START DATE</t>
  </si>
  <si>
    <t>DAY ONE</t>
  </si>
  <si>
    <t>WEIGHT</t>
  </si>
  <si>
    <t>INPUT HERE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</si>
  <si>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</si>
  <si>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t>EXERCISE</t>
  </si>
  <si>
    <t>WEEK</t>
  </si>
  <si>
    <t>SETS</t>
  </si>
  <si>
    <t>REPS</t>
  </si>
  <si>
    <t>SET 1</t>
  </si>
  <si>
    <t>SET 2</t>
  </si>
  <si>
    <t>SET 3</t>
  </si>
  <si>
    <t>SET 4</t>
  </si>
  <si>
    <t>SET 5</t>
  </si>
  <si>
    <t>Dumbbell Sumo Deadlift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</si>
  <si>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</si>
  <si>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t>AMRAP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</si>
  <si>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</si>
  <si>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AMRAP:</t>
    </r>
    <r>
      <rPr>
        <rFont val="Open Sans"/>
        <color rgb="FFB7B7B7"/>
        <sz val="8.0"/>
      </rPr>
      <t xml:space="preserve"> As Many Reps As Possible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</si>
  <si>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 (Stop one rep shy of failure)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</si>
  <si>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 &amp; STRENGTH</t>
    </r>
  </si>
  <si>
    <t>Dumbbell Bench Press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</si>
  <si>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</si>
  <si>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 (stop two reps shy of failure)</t>
    </r>
  </si>
  <si>
    <t>1-Arm Dumbbell Row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</si>
  <si>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</si>
  <si>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 (Stop at or just shy of failure)</t>
    </r>
  </si>
  <si>
    <r>
      <rPr>
        <rFont val="Fira Sans Extra Condensed"/>
        <color rgb="FFFFFFFF"/>
        <sz val="10.0"/>
      </rPr>
      <t xml:space="preserve">GIANT SET C   </t>
    </r>
    <r>
      <rPr>
        <rFont val="Fira Sans Extra Condensed"/>
        <color rgb="FFC0D9E0"/>
        <sz val="10.0"/>
      </rPr>
      <t>POSTURE &amp; AESTHETICS</t>
    </r>
  </si>
  <si>
    <t>Dumbbell Chest Fly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</si>
  <si>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</si>
  <si>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</t>
    </r>
  </si>
  <si>
    <t>Front Plank</t>
  </si>
  <si>
    <t>5 Breaths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</si>
  <si>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</si>
  <si>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t>6 Breaths</t>
  </si>
  <si>
    <t>It's okay if these feel easy</t>
  </si>
  <si>
    <t>7 Breaths</t>
  </si>
  <si>
    <t>8 Breaths</t>
  </si>
  <si>
    <t>9 Breaths</t>
  </si>
  <si>
    <t>Pit Pulls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</si>
  <si>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</si>
  <si>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</si>
  <si>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r>
      <rPr>
        <rFont val="Fira Sans Extra Condensed"/>
        <color rgb="FFFFD547"/>
        <sz val="10.0"/>
      </rPr>
      <t xml:space="preserve">OPTIONAL  </t>
    </r>
    <r>
      <rPr>
        <rFont val="Fira Sans Extra Condensed"/>
        <color rgb="FFC0D9E0"/>
        <sz val="10.0"/>
      </rPr>
      <t>TRICEPS</t>
    </r>
  </si>
  <si>
    <t>Overhead Tricep Extensions</t>
  </si>
  <si>
    <r>
      <rPr>
        <rFont val="Open Sans"/>
        <color rgb="FFB7B7B7"/>
        <sz val="8.0"/>
      </rPr>
      <t>REST: 45</t>
    </r>
    <r>
      <rPr>
        <rFont val="Open Sans"/>
        <color rgb="FF666666"/>
        <sz val="8.0"/>
      </rPr>
      <t xml:space="preserve"> SECONDS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</si>
  <si>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</t>
    </r>
  </si>
  <si>
    <t>DAY TWO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</si>
  <si>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</si>
  <si>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</si>
  <si>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</si>
  <si>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t>Underhand Lat Pulldowns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</si>
  <si>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</si>
  <si>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</si>
  <si>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LOWER-BODY SIZE &amp; STRENGTH</t>
    </r>
  </si>
  <si>
    <t>Dumbbell Romanian Deadlift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</si>
  <si>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</si>
  <si>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</si>
  <si>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t>Bodyweight Split Squat</t>
  </si>
  <si>
    <t>10/side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</si>
  <si>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</si>
  <si>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</si>
  <si>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Fira Sans Extra Condensed"/>
        <color rgb="FFFFFFFF"/>
        <sz val="10.0"/>
      </rPr>
      <t xml:space="preserve">GIANT SET C   </t>
    </r>
    <r>
      <rPr>
        <rFont val="Fira Sans Extra Condensed"/>
        <color rgb="FFC0D9E0"/>
        <sz val="10.0"/>
      </rPr>
      <t>POSTURE &amp; AESTHETICS</t>
    </r>
  </si>
  <si>
    <t>Side Planks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</si>
  <si>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</si>
  <si>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t>Dumbbell Pullovers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</si>
  <si>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</si>
  <si>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</si>
  <si>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t>Lateral Raises</t>
  </si>
  <si>
    <t>(Using dumbbells or weight plates)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</si>
  <si>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</si>
  <si>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</si>
  <si>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t>DAY THREE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</si>
  <si>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</si>
  <si>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</si>
  <si>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</si>
  <si>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</si>
  <si>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</si>
  <si>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FULL-BODY SIZE &amp; STRENGTH</t>
    </r>
  </si>
  <si>
    <t>Seated Cable Row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</si>
  <si>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</si>
  <si>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</si>
  <si>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t>Dumbbell Step-Up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</si>
  <si>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</si>
  <si>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</si>
  <si>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Fira Sans Extra Condensed"/>
        <color rgb="FFFFFFFF"/>
        <sz val="10.0"/>
      </rPr>
      <t xml:space="preserve">GIANT SET C   </t>
    </r>
    <r>
      <rPr>
        <rFont val="Fira Sans Extra Condensed"/>
        <color rgb="FFC0D9E0"/>
        <sz val="10.0"/>
      </rPr>
      <t>POSTURAL STRENGTH</t>
    </r>
  </si>
  <si>
    <t>Dumbbell Farmer Carry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</si>
  <si>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</si>
  <si>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</si>
  <si>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t>TYIs on Incline Bench</t>
  </si>
  <si>
    <t>(Using Dumbbells or Weight Plates)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</si>
  <si>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</si>
  <si>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</si>
  <si>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</si>
  <si>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Fira Sans Extra Condensed"/>
        <color rgb="FFFFD547"/>
        <sz val="10.0"/>
      </rPr>
      <t xml:space="preserve">OPTIONAL   </t>
    </r>
    <r>
      <rPr>
        <rFont val="Fira Sans Extra Condensed"/>
        <color rgb="FFC0D9E0"/>
        <sz val="10.0"/>
      </rPr>
      <t>TARGET PRACTICE</t>
    </r>
  </si>
  <si>
    <t>Dumbbell Biceps Curls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</si>
  <si>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45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</si>
  <si>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</si>
  <si>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t>PHASE 1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</si>
  <si>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</si>
  <si>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t>Barbell Romanian Deadlift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</si>
  <si>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</si>
  <si>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Stop 2 reps shy of failure (2 Reps in Reserve)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</si>
  <si>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</si>
  <si>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AMRAP:</t>
    </r>
    <r>
      <rPr>
        <rFont val="Open Sans"/>
        <color rgb="FFB7B7B7"/>
        <sz val="8.0"/>
      </rPr>
      <t xml:space="preserve"> As Many Reps As Possible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</si>
  <si>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Stop 1 rep shy of failure (1 Rep in Reserve)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</si>
  <si>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</si>
  <si>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</si>
  <si>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</si>
  <si>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</si>
  <si>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 (Stop at or just shy of failure)</t>
    </r>
  </si>
  <si>
    <r>
      <rPr>
        <rFont val="Fira Sans Extra Condensed"/>
        <color rgb="FFFFFFFF"/>
        <sz val="10.0"/>
      </rPr>
      <t xml:space="preserve">GIANT SET C   </t>
    </r>
    <r>
      <rPr>
        <rFont val="Fira Sans Extra Condensed"/>
        <color rgb="FFC0D9E0"/>
        <sz val="10.0"/>
      </rPr>
      <t>UPPER-BODY AESTHETICS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</si>
  <si>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</si>
  <si>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</si>
  <si>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</si>
  <si>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</si>
  <si>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</si>
  <si>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r>
      <rPr>
        <rFont val="Fira Sans Extra Condensed"/>
        <color rgb="FFFFD547"/>
        <sz val="10.0"/>
      </rPr>
      <t xml:space="preserve">OPTIONAL   </t>
    </r>
    <r>
      <rPr>
        <rFont val="Fira Sans Extra Condensed"/>
        <color rgb="FFC0D9E0"/>
        <sz val="10.0"/>
      </rPr>
      <t>TRICEPS</t>
    </r>
  </si>
  <si>
    <t>Overhead Triceps Extensions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</si>
  <si>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</si>
  <si>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1</t>
    </r>
  </si>
  <si>
    <t>PHASE ONE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</si>
  <si>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</si>
  <si>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t>Barbell Back Squat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</si>
  <si>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</si>
  <si>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</si>
  <si>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</si>
  <si>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</si>
  <si>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FULL-BODY SIZE &amp; STRENGTH</t>
    </r>
  </si>
  <si>
    <t>Incline Dumbbell Bench Press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</si>
  <si>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</si>
  <si>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</si>
  <si>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</si>
  <si>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</si>
  <si>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Fira Sans Extra Condensed"/>
        <color rgb="FFFFFFFF"/>
        <sz val="10.0"/>
      </rPr>
      <t xml:space="preserve">SUPERSET SET C </t>
    </r>
    <r>
      <rPr>
        <rFont val="Fira Sans Extra Condensed"/>
        <color rgb="FFC0D9E0"/>
        <sz val="10.0"/>
      </rPr>
      <t xml:space="preserve"> AESTHETICS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</si>
  <si>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</si>
  <si>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t>Cable Rope Curls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</si>
  <si>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</si>
  <si>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0, Last set to failure</t>
    </r>
  </si>
  <si>
    <t>(Stop just shy of failure on the other sets)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</si>
  <si>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</si>
  <si>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</si>
  <si>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</si>
  <si>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</si>
  <si>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</si>
  <si>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POSTERIOR CHAIN SIZE &amp; STRENGTH</t>
    </r>
  </si>
  <si>
    <t>Neutral-Grip Seated Cable Row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</si>
  <si>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</si>
  <si>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</si>
  <si>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</si>
  <si>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</si>
  <si>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POSTURAL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</si>
  <si>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</si>
  <si>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</si>
  <si>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0</t>
    </r>
  </si>
  <si>
    <r>
      <rPr>
        <rFont val="Open Sans"/>
        <color rgb="FFB7B7B7"/>
        <sz val="8.0"/>
      </rPr>
      <t xml:space="preserve">REST: </t>
    </r>
    <r>
      <rPr>
        <rFont val="Open Sans"/>
        <color rgb="FF666666"/>
        <sz val="8.0"/>
      </rPr>
      <t>30 SECONDS</t>
    </r>
  </si>
  <si>
    <r>
      <rPr>
        <rFont val="Open Sans"/>
        <b/>
        <color rgb="FFB7B7B7"/>
        <sz val="8.0"/>
      </rPr>
      <t>RIR:</t>
    </r>
    <r>
      <rPr>
        <rFont val="Open Sans"/>
        <color rgb="FFB7B7B7"/>
        <sz val="8.0"/>
      </rPr>
      <t xml:space="preserve"> 2</t>
    </r>
  </si>
  <si>
    <r>
      <rPr>
        <rFont val="Fira Sans Extra Condensed"/>
        <color rgb="FFFFD547"/>
        <sz val="10.0"/>
      </rPr>
      <t xml:space="preserve">OPTIONAL   </t>
    </r>
    <r>
      <rPr>
        <rFont val="Fira Sans Extra Condensed"/>
        <color rgb="FFC0D9E0"/>
        <sz val="10.0"/>
      </rPr>
      <t>SHOULDER AESTHETICS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</si>
  <si>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30 sec.</t>
    </r>
  </si>
  <si>
    <r>
      <rPr>
        <b/>
      </rPr>
      <t>RIR:</t>
    </r>
    <r>
      <rPr/>
      <t xml:space="preserve"> 0, Last set to failure</t>
    </r>
  </si>
  <si>
    <t>PHASE 2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</si>
  <si>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COMPOUND CORE</t>
    </r>
  </si>
  <si>
    <t>Raised Deadlift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</si>
  <si>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</si>
  <si>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</si>
  <si>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Dumbbell Biceps Curl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</si>
  <si>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</si>
  <si>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</si>
  <si>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</si>
  <si>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</si>
  <si>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</si>
  <si>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</si>
  <si>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</si>
  <si>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UPPER-BODY AESTHETICS</t>
    </r>
  </si>
  <si>
    <t>Offset Goblet Squat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</si>
  <si>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</si>
  <si>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</si>
  <si>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</si>
  <si>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</si>
  <si>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TYIs on Flat Bench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</si>
  <si>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</si>
  <si>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</si>
  <si>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D547"/>
        <sz val="10.0"/>
      </rPr>
      <t xml:space="preserve">OPTIONAL   </t>
    </r>
    <r>
      <rPr>
        <rFont val="Fira Sans Extra Condensed"/>
        <color rgb="FFC0D9E0"/>
        <sz val="10.0"/>
      </rPr>
      <t>ABS &amp; CORE STRENGTH</t>
    </r>
  </si>
  <si>
    <t>Swiss Ball Rollouts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</si>
  <si>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</si>
  <si>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</si>
  <si>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PHASE TWO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</si>
  <si>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</si>
  <si>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t>Chin-Ups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</si>
  <si>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</si>
  <si>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</si>
  <si>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Barbell Front Squat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</si>
  <si>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</si>
  <si>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</si>
  <si>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</si>
  <si>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</si>
  <si>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</si>
  <si>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Barbell Romanian Deadlifts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</si>
  <si>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</si>
  <si>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color rgb="FFB7B7B7"/>
        <sz val="8.0"/>
      </rPr>
      <t xml:space="preserve">RIR: </t>
    </r>
    <r>
      <rPr>
        <rFont val="Open Sans"/>
        <color rgb="FF666666"/>
        <sz val="8.0"/>
      </rPr>
      <t>1</t>
    </r>
  </si>
  <si>
    <r>
      <rPr>
        <rFont val="Fira Sans Extra Condensed"/>
        <color rgb="FFFFFFFF"/>
        <sz val="10.0"/>
      </rPr>
      <t xml:space="preserve">GIANT SET C   </t>
    </r>
    <r>
      <rPr>
        <rFont val="Fira Sans Extra Condensed"/>
        <color rgb="FFC0D9E0"/>
        <sz val="10.0"/>
      </rPr>
      <t>TORSO AESTHETICS</t>
    </r>
  </si>
  <si>
    <t>1/2 Kneeling Pallof Press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</si>
  <si>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</si>
  <si>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</si>
  <si>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Dumbbell Racked Carry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</si>
  <si>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</si>
  <si>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</si>
  <si>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</si>
  <si>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0, last set to failure</t>
    </r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</si>
  <si>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</si>
  <si>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</si>
  <si>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</si>
  <si>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</si>
  <si>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</si>
  <si>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FULL-BODY SIZE &amp; STRENGTH</t>
    </r>
  </si>
  <si>
    <t>1-Arm Incline Dumbbell Bench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</si>
  <si>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</si>
  <si>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</si>
  <si>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Suitcase Romanian Deadlift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</si>
  <si>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</si>
  <si>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</si>
  <si>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POSTURE &amp; AESTHETICS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</si>
  <si>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</si>
  <si>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</si>
  <si>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Overhand Seated Cable Row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</si>
  <si>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</si>
  <si>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</si>
  <si>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t>Close-Grip Push-Ups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</si>
  <si>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</si>
  <si>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</si>
  <si>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t>PHASE 3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</si>
  <si>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STRENGTH</t>
    </r>
  </si>
  <si>
    <t>Barbell Deadlift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</si>
  <si>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</si>
  <si>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</si>
  <si>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EZ-Bar Biceps Curl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</si>
  <si>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</si>
  <si>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</si>
  <si>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 &amp; STRENGTH</t>
    </r>
  </si>
  <si>
    <t>Alternating Dumbbell Bench Press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</si>
  <si>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</si>
  <si>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</si>
  <si>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Bent-Over Dumbbell Row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</si>
  <si>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</si>
  <si>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</si>
  <si>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POSTURE &amp; AESTHETICS</t>
    </r>
  </si>
  <si>
    <t>Ab Wheel Rollouts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</si>
  <si>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</si>
  <si>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</si>
  <si>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</si>
  <si>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</si>
  <si>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PHASE THREE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</si>
  <si>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STRENGTH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</si>
  <si>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</si>
  <si>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</si>
  <si>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</si>
  <si>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3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</si>
  <si>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</si>
  <si>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</si>
  <si>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</si>
  <si>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Dumbbell Pullover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</si>
  <si>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</si>
  <si>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</si>
  <si>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FINALE   </t>
    </r>
    <r>
      <rPr>
        <rFont val="Fira Sans Extra Condensed"/>
        <color rgb="FFC0D9E0"/>
        <sz val="10.0"/>
      </rPr>
      <t>POSTURAL STRENGTH</t>
    </r>
  </si>
  <si>
    <t>Racked Carry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</si>
  <si>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</si>
  <si>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</si>
  <si>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STRENGTH</t>
    </r>
  </si>
  <si>
    <t>Barbell Bench Press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</si>
  <si>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</si>
  <si>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</si>
  <si>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</si>
  <si>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</si>
  <si>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FULL-BODY SIZE &amp; STRENGTH</t>
    </r>
  </si>
  <si>
    <t>Half-Kneeling Landmine Press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</si>
  <si>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</si>
  <si>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</si>
  <si>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</si>
  <si>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</si>
  <si>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POSTURE &amp; AESTHETICS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</si>
  <si>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</si>
  <si>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</si>
  <si>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t>Neutral-Grip Cable Seated Row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</si>
  <si>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</si>
  <si>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</si>
  <si>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t>PHASE 4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</si>
  <si>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</si>
  <si>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t>Half-Kneeling Dumbbell Press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</si>
  <si>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</si>
  <si>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</si>
  <si>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</si>
  <si>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</si>
  <si>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</si>
  <si>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</si>
  <si>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</si>
  <si>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CORE STRENGTH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</si>
  <si>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</si>
  <si>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</si>
  <si>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Cross-Body Carry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</si>
  <si>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</si>
  <si>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</si>
  <si>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FINALE   </t>
    </r>
    <r>
      <rPr>
        <rFont val="Fira Sans Extra Condensed"/>
        <color rgb="FFC0D9E0"/>
        <sz val="10.0"/>
      </rPr>
      <t>HAMSTRINGS</t>
    </r>
  </si>
  <si>
    <t>Swiss Ball Leg Curls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</si>
  <si>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</si>
  <si>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</si>
  <si>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PHASE FOUR</t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</si>
  <si>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FULL-BODY SIZE &amp; STRENGTH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</si>
  <si>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</si>
  <si>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3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</si>
  <si>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</si>
  <si>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</si>
  <si>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UPPER-BODY SIZE &amp; STRENGTH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</si>
  <si>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</si>
  <si>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 (final set to failure)</t>
    </r>
  </si>
  <si>
    <t>Underhand Cable Seated Row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</si>
  <si>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</si>
  <si>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</si>
  <si>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GUN SHOW</t>
    </r>
  </si>
  <si>
    <t>Cable Triceps Pushdowns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</si>
  <si>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</si>
  <si>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0, last set to failure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</si>
  <si>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</si>
  <si>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0, last set to failure</t>
    </r>
  </si>
  <si>
    <r>
      <rPr>
        <rFont val="Fira Sans Extra Condensed"/>
        <color rgb="FFFFFFFF"/>
        <sz val="10.0"/>
      </rPr>
      <t xml:space="preserve">FINALE   </t>
    </r>
    <r>
      <rPr>
        <rFont val="Fira Sans Extra Condensed"/>
        <color rgb="FFC0D9E0"/>
        <sz val="10.0"/>
      </rPr>
      <t>POSTERIOR CHAIN</t>
    </r>
  </si>
  <si>
    <t>Kettlebell Swings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</si>
  <si>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</si>
  <si>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3</t>
    </r>
  </si>
  <si>
    <r>
      <rPr>
        <rFont val="Fira Sans Extra Condensed"/>
        <color rgb="FFFFFFFF"/>
        <sz val="10.0"/>
      </rPr>
      <t xml:space="preserve">SUPERSET A   </t>
    </r>
    <r>
      <rPr>
        <rFont val="Fira Sans Extra Condensed"/>
        <color rgb="FFC0D9E0"/>
        <sz val="10.0"/>
      </rPr>
      <t>UPPER-BODY SIZE &amp; STRENGTH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</si>
  <si>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</si>
  <si>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</si>
  <si>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2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</si>
  <si>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</t>
    </r>
  </si>
  <si>
    <r>
      <rPr>
        <rFont val="Fira Sans Extra Condensed"/>
        <color rgb="FFFFFFFF"/>
        <sz val="10.0"/>
      </rPr>
      <t xml:space="preserve">SUPERSET B   </t>
    </r>
    <r>
      <rPr>
        <rFont val="Fira Sans Extra Condensed"/>
        <color rgb="FFC0D9E0"/>
        <sz val="10.0"/>
      </rPr>
      <t>LOWER-BODY SIZE &amp; STRENGTH</t>
    </r>
  </si>
  <si>
    <t>Standing Landmine Press</t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</si>
  <si>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</si>
  <si>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</si>
  <si>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Open Sans"/>
        <b/>
        <color rgb="FFB7B7B7"/>
        <sz val="8.0"/>
      </rPr>
      <t>REST:</t>
    </r>
    <r>
      <rPr>
        <rFont val="Open Sans"/>
        <color rgb="FFB7B7B7"/>
        <sz val="8.0"/>
      </rPr>
      <t xml:space="preserve"> 1 min.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</si>
  <si>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</si>
  <si>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r>
      <rPr>
        <rFont val="Fira Sans Extra Condensed"/>
        <color rgb="FFFFFFFF"/>
        <sz val="10.0"/>
      </rPr>
      <t xml:space="preserve">SUPERSET C   </t>
    </r>
    <r>
      <rPr>
        <rFont val="Fira Sans Extra Condensed"/>
        <color rgb="FFC0D9E0"/>
        <sz val="10.0"/>
      </rPr>
      <t>POSTURE &amp; AESTHETICS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</si>
  <si>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</si>
  <si>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1</t>
    </r>
  </si>
  <si>
    <t>Standing External Rotation</t>
  </si>
  <si>
    <t>Using dumbbells or weight plates</t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</si>
  <si>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30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</si>
  <si>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2</t>
    </r>
  </si>
  <si>
    <r>
      <rPr>
        <rFont val="Fira Sans Extra Condensed"/>
        <color rgb="FFFFFFFF"/>
        <sz val="10.0"/>
      </rPr>
      <t xml:space="preserve">FINALE   </t>
    </r>
    <r>
      <rPr>
        <rFont val="Fira Sans Extra Condensed"/>
        <color rgb="FFC0D9E0"/>
        <sz val="10.0"/>
      </rPr>
      <t>DOORWAY DESTROYER</t>
    </r>
  </si>
  <si>
    <r>
      <rPr>
        <rFont val="Open Sans"/>
        <b/>
        <color rgb="FFB7B7B7"/>
        <sz val="8.0"/>
      </rPr>
      <t xml:space="preserve">REST: </t>
    </r>
    <r>
      <rPr>
        <rFont val="Open Sans"/>
        <color rgb="FFB7B7B7"/>
        <sz val="8.0"/>
      </rPr>
      <t>45 sec.</t>
    </r>
  </si>
  <si>
    <r>
      <rPr>
        <rFont val="Open Sans"/>
        <b/>
        <color rgb="FFB7B7B7"/>
        <sz val="8.0"/>
      </rPr>
      <t xml:space="preserve">RIR: </t>
    </r>
    <r>
      <rPr>
        <rFont val="Open Sans"/>
        <color rgb="FFB7B7B7"/>
        <sz val="8.0"/>
      </rPr>
      <t>0, last set to failure</t>
    </r>
  </si>
  <si>
    <t>WEIGHT TRACKING</t>
  </si>
  <si>
    <t>UNITS</t>
  </si>
  <si>
    <t>Lbs</t>
  </si>
  <si>
    <t>TARGET PACE</t>
  </si>
  <si>
    <t>SPEED</t>
  </si>
  <si>
    <t>Aggressive</t>
  </si>
  <si>
    <t>WEEKLY WEIGH-IN</t>
  </si>
  <si>
    <t>FEEDBACK</t>
  </si>
  <si>
    <t>CHANGE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</si>
  <si>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</si>
  <si>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</si>
  <si>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</si>
  <si>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</si>
  <si>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</si>
  <si>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</si>
  <si>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</si>
  <si>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</si>
  <si>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</si>
  <si>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</si>
  <si>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</si>
  <si>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</si>
  <si>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</si>
  <si>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</si>
  <si>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</si>
  <si>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</si>
  <si>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</si>
  <si>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</si>
  <si>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</si>
  <si>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</si>
  <si>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</si>
  <si>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</si>
  <si>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</si>
  <si>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</si>
  <si>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</si>
  <si>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</si>
  <si>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</si>
  <si>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</si>
  <si>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</si>
  <si>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</si>
  <si>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</si>
  <si>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</si>
  <si>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</si>
  <si>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</si>
  <si>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</si>
  <si>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</si>
  <si>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</si>
  <si>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</si>
  <si>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</si>
  <si>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</si>
  <si>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</si>
  <si>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</si>
  <si>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</si>
  <si>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</si>
  <si>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</si>
  <si>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</si>
  <si>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</si>
  <si>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</si>
  <si>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</si>
  <si>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</si>
  <si>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</si>
  <si>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</si>
  <si>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YOUTUBE LINKS</t>
  </si>
  <si>
    <t>ADD YOUR OWN</t>
  </si>
  <si>
    <t>EXERCISE NAME</t>
  </si>
  <si>
    <t>YOUTUBE LINK</t>
  </si>
  <si>
    <t>HYPERLINK</t>
  </si>
  <si>
    <t/>
  </si>
  <si>
    <t>1-Arm Dumbbell Overhead Press</t>
  </si>
  <si>
    <t>https://www.youtube.com/watch?v=lpZP0uL1t6c&amp;list=PL10zWli3BEh_I2Tuaq96_vQNQv8IIHGNY&amp;index=1</t>
  </si>
  <si>
    <t>https://www.youtube.com/watch?v=rC61aXWspQk&amp;list=PL10zWli3BEh82jgs9u8L-ZlysFiSS956k&amp;index=1</t>
  </si>
  <si>
    <t>https://www.youtube.com/watch?v=4msBWC7TQvk&amp;list=PL10zWli3BEh_jr6bb25O__YLy9EDi5UCV&amp;index=1</t>
  </si>
  <si>
    <t>1-Arm Landmine Press</t>
  </si>
  <si>
    <t>1-Leg Dumbbell Romanian Deadlift</t>
  </si>
  <si>
    <t>1-Leg Romanian Deadlift</t>
  </si>
  <si>
    <t>https://www.youtube.com/watch?v=jf1TdPG8KnI&amp;list=PL10zWli3BEh_jr6bb25O__YLy9EDi5UCV&amp;index=11</t>
  </si>
  <si>
    <t>1/2 Kneeling Palloff Press on Wall</t>
  </si>
  <si>
    <t>Ab Wheel Rollout</t>
  </si>
  <si>
    <t>https://www.youtube.com/watch?v=DQESPhMdqKs&amp;list=PL10zWli3BEh82jgs9u8L-ZlysFiSS956k&amp;index=3</t>
  </si>
  <si>
    <t>https://www.youtube.com/watch?v=y3Uhtr5Sklo&amp;list=PL10zWli3BEh82jgs9u8L-ZlysFiSS956k&amp;index=4</t>
  </si>
  <si>
    <t>Back Squat</t>
  </si>
  <si>
    <t>https://www.youtube.com/watch?v=iUGvoMwRBR4&amp;list=PL10zWli3BEh_I2Tuaq96_vQNQv8IIHGNY&amp;index=20</t>
  </si>
  <si>
    <t>https://www.youtube.com/watch?v=8XOMtdqjBy8&amp;list=PL10zWli3BEh_I2Tuaq96_vQNQv8IIHGNY&amp;index=21</t>
  </si>
  <si>
    <t>Barbell Biceps Curl</t>
  </si>
  <si>
    <t>https://www.youtube.com/watch?v=F4MR4KlFNxY&amp;list=PL10zWli3BEh_I2Tuaq96_vQNQv8IIHGNY&amp;index=22</t>
  </si>
  <si>
    <t>Barbell Curl</t>
  </si>
  <si>
    <t>https://www.youtube.com/watch?v=ckL3qplASnw&amp;list=PL10zWli3BEh82jgs9u8L-ZlysFiSS956k&amp;index=6</t>
  </si>
  <si>
    <t>https://www.youtube.com/watch?v=6i1n9w1KLow&amp;list=PL10zWli3BEh_I2Tuaq96_vQNQv8IIHGNY&amp;index=23</t>
  </si>
  <si>
    <t>Barbell Overhead Press</t>
  </si>
  <si>
    <t>https://www.youtube.com/watch?v=vMLI0USvgbo&amp;list=PL10zWli3BEh9g7pBkHoaTkyL0SKHGO7F1&amp;index=25</t>
  </si>
  <si>
    <t>Barbell Pullover</t>
  </si>
  <si>
    <t>https://www.youtube.com/watch?v=IrMgyxfytuc&amp;list=PL10zWli3BEh_I2Tuaq96_vQNQv8IIHGNY&amp;index=24</t>
  </si>
  <si>
    <t>Barbell Row</t>
  </si>
  <si>
    <t>Barbell Shrug</t>
  </si>
  <si>
    <t>Barbell Skull Crusher</t>
  </si>
  <si>
    <t>Barbell Split Squat</t>
  </si>
  <si>
    <t>https://www.youtube.com/watch?v=9NLJZbOZb1Q&amp;list=PL10zWli3BEh_I2Tuaq96_vQNQv8IIHGNY&amp;index=2</t>
  </si>
  <si>
    <t>Below-the-Knee Rack Pull</t>
  </si>
  <si>
    <t>Bent-Over Barbell Row</t>
  </si>
  <si>
    <t>https://www.youtube.com/watch?v=4ggofynSkYA&amp;list=PL10zWli3BEh_I2Tuaq96_vQNQv8IIHGNY&amp;index=25</t>
  </si>
  <si>
    <t>Bent-Over Reverse Fly</t>
  </si>
  <si>
    <t>Bodyweight Hip Thrust</t>
  </si>
  <si>
    <t>https://www.youtube.com/watch?v=kdS0ImrIg8o&amp;list=PL10zWli3BEh9g7pBkHoaTkyL0SKHGO7F1&amp;index=29</t>
  </si>
  <si>
    <t>Bodyweight Step-Up</t>
  </si>
  <si>
    <t>https://www.youtube.com/watch?v=9JC9UPlQjFs&amp;list=PL10zWli3BEh_I2Tuaq96_vQNQv8IIHGNY&amp;index=9</t>
  </si>
  <si>
    <t>Cable Crunches</t>
  </si>
  <si>
    <t>Cable Pushdown</t>
  </si>
  <si>
    <t>Cable Rope Curl</t>
  </si>
  <si>
    <t>https://www.youtube.com/watch?v=YydOwCK45DU&amp;list=PL10zWli3BEh9g7pBkHoaTkyL0SKHGO7F1&amp;index=7</t>
  </si>
  <si>
    <t>Cable Triceps Pushdown</t>
  </si>
  <si>
    <t>https://www.youtube.com/watch?v=BxCPpmYih34&amp;list=PL10zWli3BEh_I2Tuaq96_vQNQv8IIHGNY&amp;index=28</t>
  </si>
  <si>
    <t>Chest-Supported Dumbbell Row</t>
  </si>
  <si>
    <t>https://www.youtube.com/watch?v=xqbo6TtnaeE&amp;list=PL10zWli3BEh82jgs9u8L-ZlysFiSS956k&amp;index=21</t>
  </si>
  <si>
    <t>Chin-Up</t>
  </si>
  <si>
    <t>https://www.youtube.com/watch?v=zVdrtsGjKDM&amp;list=PL10zWli3BEh_jr6bb25O__YLy9EDi5UCV&amp;index=6</t>
  </si>
  <si>
    <t>Close-Grip Barbell Bench Press</t>
  </si>
  <si>
    <t>Close-Grip Push-Up</t>
  </si>
  <si>
    <t>https://www.youtube.com/watch?v=eJ3rhl8a7do&amp;list=PL10zWli3BEh_jr6bb25O__YLy9EDi5UCV&amp;index=5</t>
  </si>
  <si>
    <t>https://www.youtube.com/watch?v=65R1u3hdbcw&amp;list=PL10zWli3BEh9g7pBkHoaTkyL0SKHGO7F1&amp;index=11</t>
  </si>
  <si>
    <t>Crunches</t>
  </si>
  <si>
    <t>Deficit Push-Up</t>
  </si>
  <si>
    <t>https://www.youtube.com/watch?v=WbIOOS449ow&amp;list=PL10zWli3BEh9g7pBkHoaTkyL0SKHGO7F1&amp;index=30</t>
  </si>
  <si>
    <t>Double-Dumbbell Front Squat</t>
  </si>
  <si>
    <t>https://www.youtube.com/watch?v=bC4jqaijyuY&amp;list=PL10zWli3BEh_jr6bb25O__YLy9EDi5UCV&amp;index=26</t>
  </si>
  <si>
    <t>https://www.youtube.com/watch?v=MpDckeNjFG0&amp;list=PL10zWli3BEh_I2Tuaq96_vQNQv8IIHGNY&amp;index=3&amp;themeRefresh=1</t>
  </si>
  <si>
    <t>https://www.youtube.com/watch?v=puZ6gvaB0VA&amp;list=PL10zWli3BEh_I2Tuaq96_vQNQv8IIHGNY&amp;index=5</t>
  </si>
  <si>
    <t>https://www.youtube.com/watch?v=qvxlE9rCARU&amp;list=PL10zWli3BEh_I2Tuaq96_vQNQv8IIHGNY&amp;index=5</t>
  </si>
  <si>
    <t>https://www.youtube.com/watch?v=Jw5ueAxUWks&amp;list=PL10zWli3BEh_I2Tuaq96_vQNQv8IIHGNY&amp;index=6</t>
  </si>
  <si>
    <t>Dumbbell Hammer Curl</t>
  </si>
  <si>
    <t>https://www.youtube.com/watch?v=iB_rNU7jd2E&amp;list=PL10zWli3BEh9bGdN51BZ-BVny-_NnCSU9&amp;index=24</t>
  </si>
  <si>
    <t>Dumbbell Incline Bench Press</t>
  </si>
  <si>
    <t>https://www.youtube.com/watch?v=u17rZtlJVJM&amp;list=PL10zWli3BEh_I2Tuaq96_vQNQv8IIHGNY&amp;index=7</t>
  </si>
  <si>
    <t>https://www.youtube.com/watch?v=ArNNKJPIYBU&amp;list=PL10zWli3BEh_jr6bb25O__YLy9EDi5UCV&amp;index=9</t>
  </si>
  <si>
    <t>Dumbbell Reverse Fly</t>
  </si>
  <si>
    <t>https://www.youtube.com/watch?v=wOdaF2Zic9o&amp;list=PL10zWli3BEh_I2Tuaq96_vQNQv8IIHGNY&amp;index=8</t>
  </si>
  <si>
    <t>Dumbbell Row</t>
  </si>
  <si>
    <t>Dumbbell Skull Crusher</t>
  </si>
  <si>
    <t>https://www.youtube.com/watch?v=eQoxif-VWVI&amp;list=PL10zWli3BEh9bGdN51BZ-BVny-_NnCSU9&amp;index=22</t>
  </si>
  <si>
    <t>Dumbbell Split Squat</t>
  </si>
  <si>
    <t>https://www.youtube.com/watch?v=XWolDfbu6Ks&amp;list=PL10zWli3BEh_I2Tuaq96_vQNQv8IIHGNY&amp;index=10</t>
  </si>
  <si>
    <t>Dumbbell Swing</t>
  </si>
  <si>
    <t>https://www.youtube.com/watch?v=y5ENU64nEGg&amp;list=PL10zWli3BEh9g7pBkHoaTkyL0SKHGO7F1&amp;index=15</t>
  </si>
  <si>
    <t>Dumbbell Triceps Kickback</t>
  </si>
  <si>
    <t>https://www.youtube.com/watch?v=jX6kZ7Mrlq0&amp;list=PL10zWli3BEh82jgs9u8L-ZlysFiSS956k&amp;index=11</t>
  </si>
  <si>
    <t>https://www.youtube.com/watch?v=AAdH7_FWeJE&amp;list=PL10zWli3BEh_I2Tuaq96_vQNQv8IIHGNY&amp;index=11</t>
  </si>
  <si>
    <t>Front Squat</t>
  </si>
  <si>
    <t>https://www.youtube.com/watch?v=xDE6_CmXGuM&amp;list=PL10zWli3BEh_I2Tuaq96_vQNQv8IIHGNY&amp;index=12</t>
  </si>
  <si>
    <t>Half-Kneeling 1-Arm Dumbbell Press</t>
  </si>
  <si>
    <t>https://www.youtube.com/watch?v=Yjo6RbdPNgk&amp;list=PL10zWli3BEh9g7pBkHoaTkyL0SKHGO7F1&amp;index=15</t>
  </si>
  <si>
    <t>https://www.youtube.com/watch?v=Yjo6RbdPNgk&amp;list=PL10zWli3BEh9g7pBkHoaTkyL0SKHGO7F1&amp;index=14</t>
  </si>
  <si>
    <t>https://www.youtube.com/watch?v=I1I976ARFjw&amp;list=PL10zWli3BEh82jgs9u8L-ZlysFiSS956k&amp;index=13</t>
  </si>
  <si>
    <t>Hand Walkout</t>
  </si>
  <si>
    <t>Hanging Knee Raise</t>
  </si>
  <si>
    <t>Incline Barbell Bench Press</t>
  </si>
  <si>
    <t>https://www.youtube.com/watch?v=xV-6iJsB0WY&amp;list=PL10zWli3BEh_jr6bb25O__YLy9EDi5UCV&amp;index=28</t>
  </si>
  <si>
    <t>https://www.youtube.com/watch?v=DK-ia_fowTI&amp;list=PL10zWli3BEh_jr6bb25O__YLy9EDi5UCV&amp;index=29</t>
  </si>
  <si>
    <t>Kettlebell Swing</t>
  </si>
  <si>
    <t>Knee Close-Grip Push-Up</t>
  </si>
  <si>
    <t>Knee Push-Up</t>
  </si>
  <si>
    <t>Lat Pulldown</t>
  </si>
  <si>
    <t>https://www.youtube.com/watch?v=QlMsYB5SSDc&amp;list=PL10zWli3BEh9g7pBkHoaTkyL0SKHGO7F1&amp;index=35</t>
  </si>
  <si>
    <t>Lateral Raise</t>
  </si>
  <si>
    <t>https://www.youtube.com/watch?v=CvfluSEC7JE&amp;list=PL10zWli3BEh_I2Tuaq96_vQNQv8IIHGNY&amp;index=13</t>
  </si>
  <si>
    <t>Leg Press</t>
  </si>
  <si>
    <t>Lowered Chin-Up</t>
  </si>
  <si>
    <t>Machine Biceps Curl</t>
  </si>
  <si>
    <t>Machine Chest Press</t>
  </si>
  <si>
    <t>Machine Fly/Pec Deck</t>
  </si>
  <si>
    <t>Machine Leg Curl</t>
  </si>
  <si>
    <t>Machine Reverse Fly</t>
  </si>
  <si>
    <t>https://www.youtube.com/watch?v=DJjlDbH7aYI&amp;list=PL10zWli3BEh_I2Tuaq96_vQNQv8IIHGNY&amp;index=16</t>
  </si>
  <si>
    <t>Nordic Ham Curl</t>
  </si>
  <si>
    <t>https://www.youtube.com/watch?v=mbUWpvDf6Rg&amp;list=PL10zWli3BEh_jr6bb25O__YLy9EDi5UCV&amp;index=12</t>
  </si>
  <si>
    <t>https://www.youtube.com/watch?v=MurVKrbrHjU&amp;list=PL10zWli3BEh_jr6bb25O__YLy9EDi5UCV&amp;index=14</t>
  </si>
  <si>
    <t>Overhead Tricep Extension</t>
  </si>
  <si>
    <t>https://www.youtube.com/watch?v=Ucy-R3BJNzU&amp;list=PL10zWli3BEh_I2Tuaq96_vQNQv8IIHGNY&amp;index=15</t>
  </si>
  <si>
    <t>Pit Pull</t>
  </si>
  <si>
    <t>https://www.youtube.com/watch?v=gBuxdLK8hqU&amp;list=PL10zWli3BEh_I2Tuaq96_vQNQv8IIHGNY&amp;index=14</t>
  </si>
  <si>
    <t>Push-Up</t>
  </si>
  <si>
    <t>https://www.youtube.com/watch?v=0KKVa9_GTTE&amp;list=PL10zWli3BEh_I2Tuaq96_vQNQv8IIHGNY&amp;index=27</t>
  </si>
  <si>
    <t>Raised Close-Grip Push-Up</t>
  </si>
  <si>
    <t>https://www.youtube.com/watch?v=SQZ1jB05JBM&amp;list=PL10zWli3BEh_jr6bb25O__YLy9EDi5UCV&amp;index=15</t>
  </si>
  <si>
    <t>Raised Push-Up</t>
  </si>
  <si>
    <t>Reverse Fly</t>
  </si>
  <si>
    <t>https://www.youtube.com/watch?v=1DLRdHDFieM&amp;list=PL10zWli3BEh_I2Tuaq96_vQNQv8IIHGNY&amp;index=26</t>
  </si>
  <si>
    <t>https://www.youtube.com/watch?v=lZ1or-qPQdM&amp;list=PL10zWli3BEh_I2Tuaq96_vQNQv8IIHGNY&amp;index=17</t>
  </si>
  <si>
    <t>Side-Lying External Rotation</t>
  </si>
  <si>
    <t>https://www.youtube.com/watch?v=xIcc3s-nNw4&amp;list=PL10zWli3BEh9g7pBkHoaTkyL0SKHGO7F1&amp;index=18</t>
  </si>
  <si>
    <t>https://www.youtube.com/watch?v=b3NEn4Lu9EU&amp;list=PL10zWli3BEh9g7pBkHoaTkyL0SKHGO7F1&amp;index=19</t>
  </si>
  <si>
    <t>https://www.youtube.com/watch?v=nzqAkDoKpUk&amp;list=PL10zWli3BEh_jr6bb25O__YLy9EDi5UCV&amp;index=16</t>
  </si>
  <si>
    <t>Swiss Ball Leg Curl</t>
  </si>
  <si>
    <t>https://www.youtube.com/watch?v=UedPvTPidOg&amp;list=PL10zWli3BEh9g7pBkHoaTkyL0SKHGO7F1&amp;index=20</t>
  </si>
  <si>
    <t>Swiss Ball Rollout</t>
  </si>
  <si>
    <t>https://www.youtube.com/watch?v=KuCO93JjJBY&amp;list=PL10zWli3BEh_jr6bb25O__YLy9EDi5UCV&amp;index=17</t>
  </si>
  <si>
    <t>T-Bar Machine Row</t>
  </si>
  <si>
    <t>https://www.youtube.com/watch?v=MxqIc6tgkbQ&amp;list=PL10zWli3BEh_jr6bb25O__YLy9EDi5UCV&amp;index=18</t>
  </si>
  <si>
    <t>https://www.youtube.com/watch?v=zQeWnVDqAws&amp;list=PL10zWli3BEh_I2Tuaq96_vQNQv8IIHGNY&amp;index=18</t>
  </si>
  <si>
    <t>Underhand Barbell Row</t>
  </si>
  <si>
    <t>https://www.youtube.com/watch?v=wWlQ9oM9Kj0&amp;list=PL10zWli3BEh_jr6bb25O__YLy9EDi5UCV&amp;index=31</t>
  </si>
  <si>
    <t>Underhand Lat Pulldown</t>
  </si>
  <si>
    <t>https://www.youtube.com/watch?v=OWa6F91Ubtg&amp;list=PL10zWli3BEh_I2Tuaq96_vQNQv8IIHGNY&amp;index=19</t>
  </si>
  <si>
    <t>Underhand Row</t>
  </si>
  <si>
    <t>Weight Plate Fly</t>
  </si>
  <si>
    <t>Weight Plate Reverse Fly</t>
  </si>
  <si>
    <t>Weight-Plate Reverse Fly</t>
  </si>
  <si>
    <t>Weighted Chin-Up</t>
  </si>
  <si>
    <t>Weighted Crunches</t>
  </si>
  <si>
    <t>Weighted Push-Up</t>
  </si>
  <si>
    <t>Weighted Side Plank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</si>
</sst>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M/d/yyyy"/>
    <numFmt numFmtId="166" formatCode="0.0"/>
  </numFmts>
  <fonts count="49">
    <font>
      <sz val="10.0"/>
      <color rgb="FF000000"/>
      <name val="Arial"/>
    </font>
    <font/>
    <font>
      <sz val="24.0"/>
      <color rgb="FFFFFFFF"/>
      <name val="Roboto Condensed"/>
    </font>
    <font>
      <sz val="18.0"/>
      <color rgb="FFFFFFFF"/>
      <name val="Roboto"/>
    </font>
    <font>
      <color rgb="FFFFFFFF"/>
      <name val="Roboto"/>
    </font>
    <font>
      <sz val="11.0"/>
      <color rgb="FFFFFFFF"/>
      <name val="Fira Sans Extra Condensed"/>
    </font>
    <font>
      <sz val="10.0"/>
      <color rgb="FFFFFFFF"/>
      <name val="Fira Sans Extra Condensed"/>
    </font>
    <font>
      <u/>
      <sz val="8.0"/>
      <color rgb="FF999999"/>
      <name val="Open Sans"/>
    </font>
    <font>
      <color rgb="FFFFFFFF"/>
      <name val="Open Sans"/>
    </font>
    <font>
      <sz val="11.0"/>
      <color rgb="FFB7B7B7"/>
      <name val="Fira Sans Extra Condensed"/>
    </font>
    <font>
      <u/>
      <sz val="8.0"/>
      <color rgb="FF666666"/>
      <name val="Open Sans"/>
    </font>
    <font>
      <name val="Arial"/>
    </font>
    <font>
      <sz val="11.0"/>
      <color rgb="FF000000"/>
      <name val="Zilla Slab"/>
    </font>
    <font>
      <sz val="10.0"/>
      <color rgb="FF000000"/>
      <name val="Open Sans"/>
    </font>
    <font>
      <sz val="10.0"/>
      <color rgb="FF999999"/>
      <name val="Open Sans"/>
    </font>
    <font>
      <sz val="11.0"/>
      <name val="Zilla Slab"/>
    </font>
    <font>
      <sz val="10.0"/>
      <name val="Open Sans"/>
    </font>
    <font>
      <sz val="11.0"/>
      <color rgb="FF000000"/>
      <name val="Open Sans"/>
    </font>
    <font>
      <sz val="8.0"/>
      <color rgb="FF999999"/>
      <name val="Open Sans"/>
    </font>
    <font>
      <sz val="8.0"/>
      <color rgb="FF666666"/>
      <name val="Open Sans"/>
    </font>
    <font>
      <sz val="8.0"/>
      <name val="Fira Sans"/>
    </font>
    <font>
      <sz val="8.0"/>
      <color rgb="FFF3F3F3"/>
      <name val="Fira Sans"/>
    </font>
    <font>
      <sz val="8.0"/>
      <color rgb="FFCCCCCC"/>
      <name val="Fira Sans"/>
    </font>
    <font>
      <b/>
      <sz val="10.0"/>
      <color rgb="FF000000"/>
      <name val="Open Sans"/>
    </font>
    <font>
      <sz val="9.0"/>
      <name val="Open Sans"/>
    </font>
    <font>
      <sz val="9.0"/>
      <color rgb="FF000000"/>
      <name val="Open Sans"/>
    </font>
    <font>
      <sz val="8.0"/>
      <color rgb="FFB7B7B7"/>
      <name val="Open Sans"/>
    </font>
    <font>
      <b/>
      <u/>
      <sz val="9.0"/>
      <color rgb="FF242424"/>
      <name val="Open Sans"/>
    </font>
    <font>
      <b/>
      <sz val="9.0"/>
      <color rgb="FF242424"/>
      <name val="Open Sans"/>
    </font>
    <font>
      <sz val="8.0"/>
      <color rgb="FF242424"/>
      <name val="Open Sans"/>
    </font>
    <font>
      <sz val="9.0"/>
    </font>
    <font>
      <color rgb="FFFFFFFF"/>
    </font>
    <font>
      <sz val="11.0"/>
    </font>
    <font>
      <sz val="9.0"/>
      <color rgb="FFFFFFFF"/>
      <name val="Fira Sans"/>
    </font>
    <font>
      <sz val="8.0"/>
      <color rgb="FFFFFFFF"/>
      <name val="Fira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Open Sans"/>
    </font>
    <font>
      <u/>
      <sz val="9.0"/>
      <color rgb="FF0000FF"/>
      <name val="&quot;Open Sans&quot;"/>
    </font>
    <font>
      <u/>
      <sz val="9.0"/>
      <color rgb="FF0000FF"/>
      <name val="Open Sans"/>
    </font>
    <font>
      <u/>
      <sz val="9.0"/>
      <color rgb="FF0000FF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61A1B"/>
        <bgColor rgb="FF161A1B"/>
      </patternFill>
    </fill>
    <fill>
      <patternFill patternType="solid">
        <fgColor rgb="FF127F9D"/>
        <bgColor rgb="FF127F9D"/>
      </patternFill>
    </fill>
    <fill>
      <patternFill patternType="solid">
        <fgColor rgb="FF22282A"/>
        <bgColor rgb="FF22282A"/>
      </patternFill>
    </fill>
    <fill>
      <patternFill patternType="solid">
        <fgColor rgb="FF2D3638"/>
        <bgColor rgb="FF2D3638"/>
      </patternFill>
    </fill>
    <fill>
      <patternFill patternType="solid">
        <fgColor rgb="FF394447"/>
        <bgColor rgb="FF394447"/>
      </patternFill>
    </fill>
    <fill>
      <patternFill patternType="solid">
        <fgColor rgb="FFF3F3F3"/>
        <bgColor rgb="FFF3F3F3"/>
      </patternFill>
    </fill>
  </fills>
  <borders count="69">
    <border/>
    <border>
      <right style="medium">
        <color rgb="FF000000"/>
      </right>
    </border>
    <border>
      <top style="thick">
        <color rgb="FF161A1B"/>
      </top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FFFFFF"/>
      </right>
      <bottom style="thin">
        <color rgb="FFB7B7B7"/>
      </bottom>
    </border>
    <border>
      <left style="thin">
        <color rgb="FFFFFFFF"/>
      </lef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  <right style="thin">
        <color rgb="FFFFFFFF"/>
      </right>
      <top style="thin">
        <color rgb="FFB7B7B7"/>
      </top>
    </border>
    <border>
      <left style="thin">
        <color rgb="FFFFFFFF"/>
      </left>
      <top style="thin">
        <color rgb="FFB7B7B7"/>
      </top>
    </border>
    <border>
      <right style="medium">
        <color rgb="FF000000"/>
      </right>
      <top style="thin">
        <color rgb="FFB7B7B7"/>
      </top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left style="thin">
        <color rgb="FFB7B7B7"/>
      </left>
      <right style="thin">
        <color rgb="FFFFFFFF"/>
      </right>
      <top style="thin">
        <color rgb="FFB7B7B7"/>
      </top>
      <bottom style="medium">
        <color rgb="FF000000"/>
      </bottom>
    </border>
    <border>
      <left style="thin">
        <color rgb="FFFFFFFF"/>
      </left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medium">
        <color rgb="FF000000"/>
      </right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medium">
        <color rgb="FF000000"/>
      </bottom>
    </border>
    <border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medium">
        <color rgb="FF000000"/>
      </righ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top style="medium">
        <color rgb="FF000000"/>
      </top>
      <bottom style="thin">
        <color rgb="FFCCCCCC"/>
      </bottom>
    </border>
    <border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bottom style="thin">
        <color rgb="FFCCCCCC"/>
      </bottom>
    </border>
    <border>
      <right style="medium">
        <color rgb="FF000000"/>
      </right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medium">
        <color rgb="FF000000"/>
      </bottom>
    </border>
    <border>
      <right style="medium">
        <color rgb="FF000000"/>
      </right>
      <top style="thin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bottom style="medium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1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vertical="center"/>
    </xf>
    <xf borderId="2" fillId="3" fontId="4" numFmtId="0" xfId="0" applyBorder="1" applyFont="1"/>
    <xf borderId="3" fillId="0" fontId="1" numFmtId="0" xfId="0" applyBorder="1" applyFont="1"/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left" readingOrder="0" vertical="center"/>
    </xf>
    <xf borderId="0" fillId="3" fontId="6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8" numFmtId="164" xfId="0" applyAlignment="1" applyFont="1" applyNumberFormat="1">
      <alignment horizontal="center" readingOrder="0" vertical="center"/>
    </xf>
    <xf borderId="0" fillId="3" fontId="9" numFmtId="0" xfId="0" applyAlignment="1" applyFont="1">
      <alignment horizontal="left" readingOrder="0" vertical="center"/>
    </xf>
    <xf borderId="0" fillId="3" fontId="10" numFmtId="0" xfId="0" applyAlignment="1" applyFont="1">
      <alignment horizontal="center" readingOrder="0" vertical="center"/>
    </xf>
    <xf borderId="3" fillId="0" fontId="11" numFmtId="0" xfId="0" applyAlignment="1" applyBorder="1" applyFont="1">
      <alignment vertical="bottom"/>
    </xf>
    <xf borderId="4" fillId="3" fontId="2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vertical="bottom"/>
    </xf>
    <xf borderId="3" fillId="0" fontId="11" numFmtId="0" xfId="0" applyAlignment="1" applyBorder="1" applyFont="1">
      <alignment readingOrder="0" vertical="bottom"/>
    </xf>
    <xf borderId="5" fillId="4" fontId="6" numFmtId="0" xfId="0" applyAlignment="1" applyBorder="1" applyFill="1" applyFont="1">
      <alignment horizontal="center" readingOrder="0" vertical="center"/>
    </xf>
    <xf borderId="6" fillId="0" fontId="1" numFmtId="0" xfId="0" applyBorder="1" applyFont="1"/>
    <xf borderId="7" fillId="0" fontId="1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vertical="center"/>
    </xf>
    <xf borderId="8" fillId="0" fontId="12" numFmtId="0" xfId="0" applyAlignment="1" applyBorder="1" applyFont="1">
      <alignment horizontal="left" readingOrder="0" vertical="center"/>
    </xf>
    <xf borderId="9" fillId="0" fontId="13" numFmtId="0" xfId="0" applyAlignment="1" applyBorder="1" applyFont="1">
      <alignment horizontal="left" readingOrder="0" vertical="center"/>
    </xf>
    <xf borderId="10" fillId="0" fontId="1" numFmtId="0" xfId="0" applyBorder="1" applyFont="1"/>
    <xf borderId="8" fillId="0" fontId="1" numFmtId="0" xfId="0" applyBorder="1" applyFont="1"/>
    <xf borderId="11" fillId="0" fontId="14" numFmtId="0" xfId="0" applyAlignment="1" applyBorder="1" applyFont="1">
      <alignment horizontal="left" readingOrder="0" vertical="center"/>
    </xf>
    <xf borderId="12" fillId="0" fontId="14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1" numFmtId="0" xfId="0" applyAlignment="1" applyFont="1">
      <alignment vertical="center"/>
    </xf>
    <xf borderId="14" fillId="0" fontId="12" numFmtId="0" xfId="0" applyAlignment="1" applyBorder="1" applyFont="1">
      <alignment readingOrder="0" vertical="center"/>
    </xf>
    <xf borderId="15" fillId="0" fontId="13" numFmtId="0" xfId="0" applyAlignment="1" applyBorder="1" applyFont="1">
      <alignment readingOrder="0" vertical="center"/>
    </xf>
    <xf borderId="16" fillId="0" fontId="1" numFmtId="0" xfId="0" applyBorder="1" applyFont="1"/>
    <xf borderId="14" fillId="0" fontId="1" numFmtId="0" xfId="0" applyBorder="1" applyFont="1"/>
    <xf borderId="17" fillId="2" fontId="14" numFmtId="0" xfId="0" applyAlignment="1" applyBorder="1" applyFont="1">
      <alignment horizontal="left" readingOrder="0" vertical="center"/>
    </xf>
    <xf borderId="18" fillId="2" fontId="14" numFmtId="0" xfId="0" applyAlignment="1" applyBorder="1" applyFont="1">
      <alignment horizontal="left" readingOrder="0" vertical="center"/>
    </xf>
    <xf borderId="19" fillId="0" fontId="1" numFmtId="0" xfId="0" applyBorder="1" applyFont="1"/>
    <xf borderId="20" fillId="0" fontId="15" numFmtId="0" xfId="0" applyAlignment="1" applyBorder="1" applyFont="1">
      <alignment horizontal="left" readingOrder="0" vertical="center"/>
    </xf>
    <xf borderId="21" fillId="0" fontId="16" numFmtId="0" xfId="0" applyAlignment="1" applyBorder="1" applyFont="1">
      <alignment horizontal="left" readingOrder="0" vertical="center"/>
    </xf>
    <xf borderId="22" fillId="0" fontId="1" numFmtId="0" xfId="0" applyBorder="1" applyFont="1"/>
    <xf borderId="20" fillId="0" fontId="1" numFmtId="0" xfId="0" applyBorder="1" applyFont="1"/>
    <xf borderId="23" fillId="2" fontId="14" numFmtId="0" xfId="0" applyAlignment="1" applyBorder="1" applyFont="1">
      <alignment horizontal="left" readingOrder="0" vertical="center"/>
    </xf>
    <xf borderId="24" fillId="2" fontId="14" numFmtId="0" xfId="0" applyAlignment="1" applyBorder="1" applyFont="1">
      <alignment horizontal="left" readingOrder="0" vertical="center"/>
    </xf>
    <xf borderId="25" fillId="0" fontId="1" numFmtId="0" xfId="0" applyBorder="1" applyFont="1"/>
    <xf borderId="8" fillId="0" fontId="17" numFmtId="0" xfId="0" applyAlignment="1" applyBorder="1" applyFont="1">
      <alignment horizontal="left" readingOrder="0" vertical="center"/>
    </xf>
    <xf borderId="3" fillId="0" fontId="11" numFmtId="0" xfId="0" applyAlignment="1" applyBorder="1" applyFont="1">
      <alignment vertical="center"/>
    </xf>
    <xf borderId="20" fillId="0" fontId="17" numFmtId="0" xfId="0" applyAlignment="1" applyBorder="1" applyFont="1">
      <alignment readingOrder="0" vertical="center"/>
    </xf>
    <xf borderId="21" fillId="0" fontId="13" numFmtId="0" xfId="0" applyAlignment="1" applyBorder="1" applyFont="1">
      <alignment readingOrder="0" vertical="center"/>
    </xf>
    <xf borderId="23" fillId="0" fontId="14" numFmtId="0" xfId="0" applyAlignment="1" applyBorder="1" applyFont="1">
      <alignment horizontal="left" readingOrder="0" vertical="center"/>
    </xf>
    <xf borderId="24" fillId="0" fontId="14" numFmtId="0" xfId="0" applyAlignment="1" applyBorder="1" applyFont="1">
      <alignment horizontal="left" readingOrder="0" vertical="center"/>
    </xf>
    <xf borderId="14" fillId="0" fontId="17" numFmtId="0" xfId="0" applyAlignment="1" applyBorder="1" applyFont="1">
      <alignment readingOrder="0" vertical="center"/>
    </xf>
    <xf borderId="26" fillId="0" fontId="17" numFmtId="0" xfId="0" applyAlignment="1" applyBorder="1" applyFont="1">
      <alignment readingOrder="0" vertical="center"/>
    </xf>
    <xf borderId="27" fillId="0" fontId="13" numFmtId="0" xfId="0" applyAlignment="1" applyBorder="1" applyFont="1">
      <alignment readingOrder="0" vertical="center"/>
    </xf>
    <xf borderId="28" fillId="0" fontId="1" numFmtId="0" xfId="0" applyBorder="1" applyFont="1"/>
    <xf borderId="26" fillId="0" fontId="1" numFmtId="0" xfId="0" applyBorder="1" applyFont="1"/>
    <xf borderId="29" fillId="2" fontId="14" numFmtId="0" xfId="0" applyAlignment="1" applyBorder="1" applyFont="1">
      <alignment horizontal="left" readingOrder="0" vertical="center"/>
    </xf>
    <xf borderId="30" fillId="2" fontId="14" numFmtId="0" xfId="0" applyAlignment="1" applyBorder="1" applyFont="1">
      <alignment horizontal="left" readingOrder="0" vertical="center"/>
    </xf>
    <xf borderId="31" fillId="0" fontId="1" numFmtId="0" xfId="0" applyBorder="1" applyFont="1"/>
    <xf borderId="0" fillId="0" fontId="1" numFmtId="0" xfId="0" applyFont="1"/>
    <xf borderId="0" fillId="2" fontId="14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5" fillId="3" fontId="2" numFmtId="0" xfId="0" applyAlignment="1" applyBorder="1" applyFont="1">
      <alignment horizontal="center" readingOrder="0" shrinkToFit="0" vertical="center" wrapText="0"/>
    </xf>
    <xf borderId="6" fillId="3" fontId="2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vertical="center"/>
    </xf>
    <xf borderId="32" fillId="3" fontId="4" numFmtId="0" xfId="0" applyAlignment="1" applyBorder="1" applyFont="1">
      <alignment vertical="center"/>
    </xf>
    <xf borderId="3" fillId="3" fontId="2" numFmtId="0" xfId="0" applyAlignment="1" applyBorder="1" applyFont="1">
      <alignment horizontal="center" readingOrder="0" shrinkToFit="0" vertical="center" wrapText="0"/>
    </xf>
    <xf borderId="0" fillId="3" fontId="18" numFmtId="0" xfId="0" applyAlignment="1" applyFont="1">
      <alignment horizontal="left" readingOrder="0" vertical="center"/>
    </xf>
    <xf borderId="0" fillId="3" fontId="18" numFmtId="165" xfId="0" applyAlignment="1" applyFont="1" applyNumberFormat="1">
      <alignment horizontal="center" readingOrder="0" vertical="center"/>
    </xf>
    <xf borderId="1" fillId="3" fontId="8" numFmtId="164" xfId="0" applyAlignment="1" applyBorder="1" applyFont="1" applyNumberFormat="1">
      <alignment horizontal="center" readingOrder="0" vertical="center"/>
    </xf>
    <xf borderId="0" fillId="3" fontId="19" numFmtId="0" xfId="0" applyAlignment="1" applyFont="1">
      <alignment horizontal="left" readingOrder="0" vertical="center"/>
    </xf>
    <xf borderId="0" fillId="3" fontId="19" numFmtId="0" xfId="0" applyAlignment="1" applyFont="1">
      <alignment horizontal="center" readingOrder="0" vertical="center"/>
    </xf>
    <xf borderId="0" fillId="0" fontId="11" numFmtId="0" xfId="0" applyAlignment="1" applyFont="1">
      <alignment vertical="bottom"/>
    </xf>
    <xf borderId="0" fillId="3" fontId="3" numFmtId="0" xfId="0" applyAlignment="1" applyFont="1">
      <alignment horizontal="center" readingOrder="0" vertical="center"/>
    </xf>
    <xf borderId="0" fillId="3" fontId="4" numFmtId="0" xfId="0" applyAlignment="1" applyFont="1">
      <alignment vertical="center"/>
    </xf>
    <xf borderId="1" fillId="3" fontId="4" numFmtId="0" xfId="0" applyAlignment="1" applyBorder="1" applyFont="1">
      <alignment vertical="center"/>
    </xf>
    <xf borderId="0" fillId="0" fontId="11" numFmtId="0" xfId="0" applyAlignment="1" applyFont="1">
      <alignment readingOrder="0" vertical="bottom"/>
    </xf>
    <xf borderId="32" fillId="0" fontId="1" numFmtId="0" xfId="0" applyBorder="1" applyFont="1"/>
    <xf borderId="33" fillId="0" fontId="1" numFmtId="0" xfId="0" applyBorder="1" applyFont="1"/>
    <xf borderId="34" fillId="3" fontId="20" numFmtId="0" xfId="0" applyAlignment="1" applyBorder="1" applyFont="1">
      <alignment vertical="center"/>
    </xf>
    <xf borderId="35" fillId="3" fontId="21" numFmtId="0" xfId="0" applyAlignment="1" applyBorder="1" applyFont="1">
      <alignment horizontal="left" readingOrder="0" vertical="center"/>
    </xf>
    <xf borderId="35" fillId="0" fontId="1" numFmtId="0" xfId="0" applyBorder="1" applyFont="1"/>
    <xf borderId="34" fillId="5" fontId="21" numFmtId="0" xfId="0" applyAlignment="1" applyBorder="1" applyFill="1" applyFont="1">
      <alignment horizontal="center" readingOrder="0" vertical="center"/>
    </xf>
    <xf borderId="35" fillId="6" fontId="21" numFmtId="0" xfId="0" applyAlignment="1" applyBorder="1" applyFill="1" applyFont="1">
      <alignment horizontal="center" readingOrder="0" vertical="center"/>
    </xf>
    <xf borderId="36" fillId="7" fontId="21" numFmtId="0" xfId="0" applyAlignment="1" applyBorder="1" applyFill="1" applyFont="1">
      <alignment horizontal="center" readingOrder="0" vertical="center"/>
    </xf>
    <xf borderId="35" fillId="3" fontId="22" numFmtId="0" xfId="0" applyAlignment="1" applyBorder="1" applyFont="1">
      <alignment horizontal="center" readingOrder="0" vertical="center"/>
    </xf>
    <xf borderId="36" fillId="3" fontId="22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vertical="center"/>
    </xf>
    <xf borderId="38" fillId="0" fontId="23" numFmtId="0" xfId="0" applyAlignment="1" applyBorder="1" applyFont="1">
      <alignment horizontal="left" readingOrder="0" vertical="center"/>
    </xf>
    <xf borderId="39" fillId="0" fontId="1" numFmtId="0" xfId="0" applyBorder="1" applyFont="1"/>
    <xf borderId="37" fillId="0" fontId="24" numFmtId="0" xfId="0" applyAlignment="1" applyBorder="1" applyFont="1">
      <alignment horizontal="center" readingOrder="0" vertical="center"/>
    </xf>
    <xf borderId="40" fillId="0" fontId="24" numFmtId="0" xfId="0" applyAlignment="1" applyBorder="1" applyFont="1">
      <alignment horizontal="center" readingOrder="0" vertical="center"/>
    </xf>
    <xf borderId="41" fillId="0" fontId="25" numFmtId="0" xfId="0" applyAlignment="1" applyBorder="1" applyFont="1">
      <alignment horizontal="center" readingOrder="0" vertical="center"/>
    </xf>
    <xf borderId="39" fillId="0" fontId="24" numFmtId="0" xfId="0" applyAlignment="1" applyBorder="1" applyFont="1">
      <alignment horizontal="center" readingOrder="0" vertical="center"/>
    </xf>
    <xf borderId="40" fillId="0" fontId="25" numFmtId="0" xfId="0" applyAlignment="1" applyBorder="1" applyFont="1">
      <alignment horizontal="center" vertical="center"/>
    </xf>
    <xf borderId="41" fillId="0" fontId="25" numFmtId="0" xfId="0" applyAlignment="1" applyBorder="1" applyFont="1">
      <alignment horizontal="center" vertical="center"/>
    </xf>
    <xf borderId="42" fillId="0" fontId="1" numFmtId="0" xfId="0" applyAlignment="1" applyBorder="1" applyFont="1">
      <alignment vertical="center"/>
    </xf>
    <xf borderId="43" fillId="0" fontId="26" numFmtId="0" xfId="0" applyAlignment="1" applyBorder="1" applyFont="1">
      <alignment horizontal="left" readingOrder="0" vertical="center"/>
    </xf>
    <xf borderId="44" fillId="0" fontId="1" numFmtId="0" xfId="0" applyBorder="1" applyFont="1"/>
    <xf borderId="42" fillId="0" fontId="24" numFmtId="0" xfId="0" applyAlignment="1" applyBorder="1" applyFont="1">
      <alignment horizontal="center" readingOrder="0" vertical="center"/>
    </xf>
    <xf borderId="45" fillId="0" fontId="24" numFmtId="0" xfId="0" applyAlignment="1" applyBorder="1" applyFont="1">
      <alignment horizontal="center" readingOrder="0" vertical="center"/>
    </xf>
    <xf borderId="46" fillId="0" fontId="25" numFmtId="0" xfId="0" applyAlignment="1" applyBorder="1" applyFont="1">
      <alignment horizontal="center" readingOrder="0" vertical="center"/>
    </xf>
    <xf borderId="44" fillId="0" fontId="24" numFmtId="0" xfId="0" applyAlignment="1" applyBorder="1" applyFont="1">
      <alignment horizontal="center" readingOrder="0" vertical="center"/>
    </xf>
    <xf borderId="45" fillId="0" fontId="25" numFmtId="0" xfId="0" applyAlignment="1" applyBorder="1" applyFont="1">
      <alignment horizontal="center" vertical="center"/>
    </xf>
    <xf borderId="46" fillId="0" fontId="25" numFmtId="0" xfId="0" applyAlignment="1" applyBorder="1" applyFont="1">
      <alignment horizontal="center" vertical="center"/>
    </xf>
    <xf borderId="42" fillId="0" fontId="1" numFmtId="0" xfId="0" applyAlignment="1" applyBorder="1" applyFont="1">
      <alignment vertical="center"/>
    </xf>
    <xf borderId="43" fillId="0" fontId="1" numFmtId="0" xfId="0" applyAlignment="1" applyBorder="1" applyFont="1">
      <alignment vertical="center"/>
    </xf>
    <xf borderId="47" fillId="0" fontId="1" numFmtId="0" xfId="0" applyAlignment="1" applyBorder="1" applyFont="1">
      <alignment vertical="center"/>
    </xf>
    <xf borderId="48" fillId="0" fontId="27" numFmtId="0" xfId="0" applyAlignment="1" applyBorder="1" applyFont="1">
      <alignment horizontal="left" readingOrder="0" vertical="center"/>
    </xf>
    <xf borderId="49" fillId="0" fontId="1" numFmtId="0" xfId="0" applyBorder="1" applyFont="1"/>
    <xf borderId="47" fillId="0" fontId="24" numFmtId="0" xfId="0" applyAlignment="1" applyBorder="1" applyFont="1">
      <alignment horizontal="center" readingOrder="0" vertical="center"/>
    </xf>
    <xf borderId="50" fillId="0" fontId="24" numFmtId="0" xfId="0" applyAlignment="1" applyBorder="1" applyFont="1">
      <alignment horizontal="center" readingOrder="0" vertical="center"/>
    </xf>
    <xf borderId="51" fillId="0" fontId="25" numFmtId="0" xfId="0" applyAlignment="1" applyBorder="1" applyFont="1">
      <alignment horizontal="center" readingOrder="0" vertical="center"/>
    </xf>
    <xf borderId="52" fillId="0" fontId="24" numFmtId="0" xfId="0" applyAlignment="1" applyBorder="1" applyFont="1">
      <alignment horizontal="center" readingOrder="0" vertical="center"/>
    </xf>
    <xf borderId="51" fillId="0" fontId="24" numFmtId="0" xfId="0" applyAlignment="1" applyBorder="1" applyFont="1">
      <alignment horizontal="center" readingOrder="0" vertical="center"/>
    </xf>
    <xf borderId="53" fillId="0" fontId="1" numFmtId="0" xfId="0" applyAlignment="1" applyBorder="1" applyFont="1">
      <alignment vertical="center"/>
    </xf>
    <xf borderId="54" fillId="0" fontId="23" numFmtId="0" xfId="0" applyAlignment="1" applyBorder="1" applyFont="1">
      <alignment horizontal="left" readingOrder="0" vertical="center"/>
    </xf>
    <xf borderId="55" fillId="0" fontId="1" numFmtId="0" xfId="0" applyBorder="1" applyFont="1"/>
    <xf borderId="53" fillId="0" fontId="24" numFmtId="0" xfId="0" applyAlignment="1" applyBorder="1" applyFont="1">
      <alignment horizontal="center" readingOrder="0" vertical="center"/>
    </xf>
    <xf borderId="56" fillId="0" fontId="24" numFmtId="0" xfId="0" applyAlignment="1" applyBorder="1" applyFont="1">
      <alignment horizontal="center" readingOrder="0" vertical="center"/>
    </xf>
    <xf borderId="57" fillId="0" fontId="25" numFmtId="0" xfId="0" applyAlignment="1" applyBorder="1" applyFont="1">
      <alignment horizontal="center" readingOrder="0" vertical="center"/>
    </xf>
    <xf borderId="55" fillId="0" fontId="24" numFmtId="0" xfId="0" applyAlignment="1" applyBorder="1" applyFont="1">
      <alignment horizontal="center" readingOrder="0" vertical="center"/>
    </xf>
    <xf borderId="56" fillId="0" fontId="25" numFmtId="0" xfId="0" applyAlignment="1" applyBorder="1" applyFont="1">
      <alignment horizontal="center" vertical="center"/>
    </xf>
    <xf borderId="57" fillId="0" fontId="25" numFmtId="0" xfId="0" applyAlignment="1" applyBorder="1" applyFont="1">
      <alignment horizontal="center" vertical="center"/>
    </xf>
    <xf borderId="58" fillId="0" fontId="1" numFmtId="0" xfId="0" applyAlignment="1" applyBorder="1" applyFont="1">
      <alignment vertical="center"/>
    </xf>
    <xf borderId="58" fillId="0" fontId="24" numFmtId="0" xfId="0" applyAlignment="1" applyBorder="1" applyFont="1">
      <alignment horizontal="center" readingOrder="0" vertical="center"/>
    </xf>
    <xf borderId="59" fillId="0" fontId="24" numFmtId="0" xfId="0" applyAlignment="1" applyBorder="1" applyFont="1">
      <alignment horizontal="center" readingOrder="0" vertical="center"/>
    </xf>
    <xf borderId="60" fillId="0" fontId="25" numFmtId="0" xfId="0" applyAlignment="1" applyBorder="1" applyFont="1">
      <alignment horizontal="center" readingOrder="0" vertical="center"/>
    </xf>
    <xf borderId="49" fillId="0" fontId="24" numFmtId="0" xfId="0" applyAlignment="1" applyBorder="1" applyFont="1">
      <alignment horizontal="center" readingOrder="0" vertical="center"/>
    </xf>
    <xf borderId="60" fillId="0" fontId="24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48" fillId="0" fontId="28" numFmtId="0" xfId="0" applyAlignment="1" applyBorder="1" applyFont="1">
      <alignment horizontal="left" readingOrder="0" vertical="center"/>
    </xf>
    <xf borderId="48" fillId="0" fontId="29" numFmtId="0" xfId="0" applyAlignment="1" applyBorder="1" applyFont="1">
      <alignment horizontal="left" readingOrder="0" vertical="center"/>
    </xf>
    <xf borderId="43" fillId="0" fontId="29" numFmtId="0" xfId="0" applyAlignment="1" applyBorder="1" applyFont="1">
      <alignment vertical="center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11" numFmtId="0" xfId="0" applyAlignment="1" applyFont="1">
      <alignment vertical="bottom"/>
    </xf>
    <xf borderId="5" fillId="3" fontId="11" numFmtId="0" xfId="0" applyAlignment="1" applyBorder="1" applyFont="1">
      <alignment vertical="top"/>
    </xf>
    <xf borderId="6" fillId="3" fontId="11" numFmtId="0" xfId="0" applyAlignment="1" applyBorder="1" applyFont="1">
      <alignment vertical="top"/>
    </xf>
    <xf borderId="6" fillId="3" fontId="11" numFmtId="0" xfId="0" applyAlignment="1" applyBorder="1" applyFont="1">
      <alignment vertical="bottom"/>
    </xf>
    <xf borderId="6" fillId="3" fontId="32" numFmtId="0" xfId="0" applyBorder="1" applyFont="1"/>
    <xf borderId="32" fillId="3" fontId="32" numFmtId="0" xfId="0" applyBorder="1" applyFont="1"/>
    <xf borderId="3" fillId="3" fontId="11" numFmtId="0" xfId="0" applyAlignment="1" applyBorder="1" applyFont="1">
      <alignment vertical="top"/>
    </xf>
    <xf borderId="0" fillId="3" fontId="5" numFmtId="0" xfId="0" applyAlignment="1" applyFont="1">
      <alignment readingOrder="0" vertical="center"/>
    </xf>
    <xf borderId="0" fillId="3" fontId="3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horizontal="left" vertical="center"/>
    </xf>
    <xf borderId="0" fillId="3" fontId="18" numFmtId="0" xfId="0" applyAlignment="1" applyFont="1">
      <alignment horizontal="center" readingOrder="0" vertical="center"/>
    </xf>
    <xf borderId="0" fillId="3" fontId="32" numFmtId="0" xfId="0" applyFont="1"/>
    <xf borderId="1" fillId="3" fontId="32" numFmtId="0" xfId="0" applyBorder="1" applyFont="1"/>
    <xf borderId="0" fillId="3" fontId="9" numFmtId="0" xfId="0" applyAlignment="1" applyFont="1">
      <alignment readingOrder="0" vertical="center"/>
    </xf>
    <xf borderId="7" fillId="3" fontId="11" numFmtId="0" xfId="0" applyAlignment="1" applyBorder="1" applyFont="1">
      <alignment vertical="top"/>
    </xf>
    <xf borderId="4" fillId="3" fontId="11" numFmtId="0" xfId="0" applyAlignment="1" applyBorder="1" applyFont="1">
      <alignment vertical="top"/>
    </xf>
    <xf borderId="4" fillId="3" fontId="11" numFmtId="0" xfId="0" applyAlignment="1" applyBorder="1" applyFont="1">
      <alignment vertical="bottom"/>
    </xf>
    <xf borderId="4" fillId="3" fontId="32" numFmtId="0" xfId="0" applyBorder="1" applyFont="1"/>
    <xf borderId="33" fillId="3" fontId="32" numFmtId="0" xfId="0" applyBorder="1" applyFont="1"/>
    <xf borderId="34" fillId="4" fontId="6" numFmtId="0" xfId="0" applyAlignment="1" applyBorder="1" applyFont="1">
      <alignment readingOrder="0" vertical="center"/>
    </xf>
    <xf borderId="35" fillId="4" fontId="6" numFmtId="0" xfId="0" applyAlignment="1" applyBorder="1" applyFont="1">
      <alignment readingOrder="0" vertical="center"/>
    </xf>
    <xf borderId="34" fillId="4" fontId="6" numFmtId="0" xfId="0" applyAlignment="1" applyBorder="1" applyFont="1">
      <alignment horizontal="center" readingOrder="0" vertical="center"/>
    </xf>
    <xf borderId="36" fillId="0" fontId="1" numFmtId="0" xfId="0" applyBorder="1" applyFont="1"/>
    <xf borderId="35" fillId="4" fontId="6" numFmtId="0" xfId="0" applyAlignment="1" applyBorder="1" applyFont="1">
      <alignment horizontal="center" readingOrder="0" vertical="center"/>
    </xf>
    <xf borderId="34" fillId="3" fontId="6" numFmtId="0" xfId="0" applyAlignment="1" applyBorder="1" applyFont="1">
      <alignment readingOrder="0" vertical="center"/>
    </xf>
    <xf borderId="35" fillId="3" fontId="34" numFmtId="0" xfId="0" applyAlignment="1" applyBorder="1" applyFont="1">
      <alignment readingOrder="0" vertical="center"/>
    </xf>
    <xf borderId="34" fillId="5" fontId="34" numFmtId="0" xfId="0" applyAlignment="1" applyBorder="1" applyFont="1">
      <alignment horizontal="center" readingOrder="0" vertical="center"/>
    </xf>
    <xf borderId="36" fillId="6" fontId="34" numFmtId="0" xfId="0" applyAlignment="1" applyBorder="1" applyFont="1">
      <alignment horizontal="center" readingOrder="0" vertical="center"/>
    </xf>
    <xf borderId="35" fillId="3" fontId="34" numFmtId="0" xfId="0" applyAlignment="1" applyBorder="1" applyFont="1">
      <alignment horizontal="center" readingOrder="0" vertical="center"/>
    </xf>
    <xf borderId="0" fillId="0" fontId="24" numFmtId="0" xfId="0" applyFont="1"/>
    <xf borderId="37" fillId="8" fontId="24" numFmtId="0" xfId="0" applyBorder="1" applyFill="1" applyFont="1"/>
    <xf borderId="40" fillId="8" fontId="24" numFmtId="0" xfId="0" applyAlignment="1" applyBorder="1" applyFont="1">
      <alignment readingOrder="0" vertical="center"/>
    </xf>
    <xf borderId="40" fillId="8" fontId="24" numFmtId="0" xfId="0" applyAlignment="1" applyBorder="1" applyFont="1">
      <alignment horizontal="center" readingOrder="0" vertical="center"/>
    </xf>
    <xf borderId="38" fillId="8" fontId="24" numFmtId="166" xfId="0" applyAlignment="1" applyBorder="1" applyFont="1" applyNumberFormat="1">
      <alignment horizontal="center" readingOrder="0" vertical="center"/>
    </xf>
    <xf borderId="61" fillId="0" fontId="1" numFmtId="0" xfId="0" applyBorder="1" applyFont="1"/>
    <xf borderId="62" fillId="0" fontId="1" numFmtId="0" xfId="0" applyBorder="1" applyFont="1"/>
    <xf borderId="42" fillId="0" fontId="24" numFmtId="0" xfId="0" applyBorder="1" applyFont="1"/>
    <xf borderId="45" fillId="0" fontId="24" numFmtId="0" xfId="0" applyAlignment="1" applyBorder="1" applyFont="1">
      <alignment readingOrder="0" vertical="center"/>
    </xf>
    <xf borderId="45" fillId="0" fontId="24" numFmtId="0" xfId="0" applyAlignment="1" applyBorder="1" applyFont="1">
      <alignment horizontal="center" vertical="center"/>
    </xf>
    <xf borderId="43" fillId="2" fontId="24" numFmtId="166" xfId="0" applyAlignment="1" applyBorder="1" applyFont="1" applyNumberFormat="1">
      <alignment horizontal="center" readingOrder="0" vertical="center"/>
    </xf>
    <xf borderId="63" fillId="0" fontId="1" numFmtId="0" xfId="0" applyBorder="1" applyFont="1"/>
    <xf borderId="64" fillId="0" fontId="1" numFmtId="0" xfId="0" applyBorder="1" applyFont="1"/>
    <xf borderId="42" fillId="8" fontId="24" numFmtId="0" xfId="0" applyBorder="1" applyFont="1"/>
    <xf borderId="45" fillId="8" fontId="24" numFmtId="0" xfId="0" applyAlignment="1" applyBorder="1" applyFont="1">
      <alignment readingOrder="0" vertical="center"/>
    </xf>
    <xf borderId="45" fillId="8" fontId="24" numFmtId="0" xfId="0" applyAlignment="1" applyBorder="1" applyFont="1">
      <alignment horizontal="center" readingOrder="0" vertical="center"/>
    </xf>
    <xf borderId="45" fillId="8" fontId="24" numFmtId="0" xfId="0" applyAlignment="1" applyBorder="1" applyFont="1">
      <alignment horizontal="center" vertical="center"/>
    </xf>
    <xf borderId="43" fillId="8" fontId="24" numFmtId="166" xfId="0" applyAlignment="1" applyBorder="1" applyFont="1" applyNumberFormat="1">
      <alignment horizontal="center" readingOrder="0" vertical="center"/>
    </xf>
    <xf borderId="45" fillId="2" fontId="24" numFmtId="0" xfId="0" applyAlignment="1" applyBorder="1" applyFont="1">
      <alignment readingOrder="0" vertical="center"/>
    </xf>
    <xf borderId="45" fillId="2" fontId="24" numFmtId="0" xfId="0" applyAlignment="1" applyBorder="1" applyFont="1">
      <alignment horizontal="center" readingOrder="0" vertical="center"/>
    </xf>
    <xf borderId="0" fillId="0" fontId="24" numFmtId="0" xfId="0" applyAlignment="1" applyFont="1">
      <alignment vertical="bottom"/>
    </xf>
    <xf borderId="42" fillId="8" fontId="24" numFmtId="0" xfId="0" applyAlignment="1" applyBorder="1" applyFont="1">
      <alignment vertical="bottom"/>
    </xf>
    <xf borderId="45" fillId="8" fontId="24" numFmtId="0" xfId="0" applyAlignment="1" applyBorder="1" applyFont="1">
      <alignment horizontal="center" readingOrder="0"/>
    </xf>
    <xf borderId="42" fillId="0" fontId="24" numFmtId="0" xfId="0" applyAlignment="1" applyBorder="1" applyFont="1">
      <alignment vertical="bottom"/>
    </xf>
    <xf borderId="45" fillId="0" fontId="24" numFmtId="0" xfId="0" applyAlignment="1" applyBorder="1" applyFont="1">
      <alignment horizontal="center" readingOrder="0"/>
    </xf>
    <xf borderId="45" fillId="2" fontId="24" numFmtId="0" xfId="0" applyAlignment="1" applyBorder="1" applyFont="1">
      <alignment horizontal="center" readingOrder="0"/>
    </xf>
    <xf borderId="58" fillId="0" fontId="24" numFmtId="0" xfId="0" applyAlignment="1" applyBorder="1" applyFont="1">
      <alignment vertical="bottom"/>
    </xf>
    <xf borderId="59" fillId="2" fontId="24" numFmtId="0" xfId="0" applyAlignment="1" applyBorder="1" applyFont="1">
      <alignment readingOrder="0" vertical="center"/>
    </xf>
    <xf borderId="59" fillId="2" fontId="24" numFmtId="0" xfId="0" applyAlignment="1" applyBorder="1" applyFont="1">
      <alignment horizontal="center" readingOrder="0"/>
    </xf>
    <xf borderId="59" fillId="0" fontId="24" numFmtId="0" xfId="0" applyAlignment="1" applyBorder="1" applyFont="1">
      <alignment horizontal="center" vertical="center"/>
    </xf>
    <xf borderId="48" fillId="2" fontId="24" numFmtId="166" xfId="0" applyAlignment="1" applyBorder="1" applyFont="1" applyNumberFormat="1">
      <alignment horizontal="center" readingOrder="0" vertical="center"/>
    </xf>
    <xf borderId="65" fillId="0" fontId="1" numFmtId="0" xfId="0" applyBorder="1" applyFont="1"/>
    <xf borderId="66" fillId="0" fontId="1" numFmtId="0" xfId="0" applyBorder="1" applyFont="1"/>
    <xf borderId="67" fillId="4" fontId="6" numFmtId="0" xfId="0" applyAlignment="1" applyBorder="1" applyFont="1">
      <alignment horizontal="center" readingOrder="0" vertical="center"/>
    </xf>
    <xf borderId="42" fillId="2" fontId="24" numFmtId="0" xfId="0" applyBorder="1" applyFont="1"/>
    <xf borderId="45" fillId="2" fontId="24" numFmtId="0" xfId="0" applyAlignment="1" applyBorder="1" applyFont="1">
      <alignment vertical="center"/>
    </xf>
    <xf borderId="45" fillId="2" fontId="24" numFmtId="0" xfId="0" applyAlignment="1" applyBorder="1" applyFont="1">
      <alignment horizontal="center" vertical="center"/>
    </xf>
    <xf borderId="63" fillId="2" fontId="1" numFmtId="0" xfId="0" applyBorder="1" applyFont="1"/>
    <xf borderId="64" fillId="2" fontId="1" numFmtId="0" xfId="0" applyBorder="1" applyFont="1"/>
    <xf borderId="40" fillId="8" fontId="24" numFmtId="0" xfId="0" applyAlignment="1" applyBorder="1" applyFont="1">
      <alignment vertical="center"/>
    </xf>
    <xf borderId="40" fillId="8" fontId="24" numFmtId="0" xfId="0" applyAlignment="1" applyBorder="1" applyFont="1">
      <alignment horizontal="left" shrinkToFit="0" vertical="center" wrapText="0"/>
    </xf>
    <xf borderId="61" fillId="8" fontId="1" numFmtId="0" xfId="0" applyBorder="1" applyFont="1"/>
    <xf borderId="62" fillId="8" fontId="1" numFmtId="0" xfId="0" applyBorder="1" applyFont="1"/>
    <xf borderId="45" fillId="2" fontId="35" numFmtId="0" xfId="0" applyAlignment="1" applyBorder="1" applyFont="1">
      <alignment horizontal="left" readingOrder="0" shrinkToFit="0" vertical="center" wrapText="0"/>
    </xf>
    <xf borderId="38" fillId="2" fontId="36" numFmtId="166" xfId="0" applyAlignment="1" applyBorder="1" applyFont="1" applyNumberFormat="1">
      <alignment horizontal="center" readingOrder="0" vertical="center"/>
    </xf>
    <xf borderId="61" fillId="2" fontId="1" numFmtId="0" xfId="0" applyBorder="1" applyFont="1"/>
    <xf borderId="62" fillId="2" fontId="1" numFmtId="0" xfId="0" applyBorder="1" applyFont="1"/>
    <xf borderId="45" fillId="8" fontId="24" numFmtId="0" xfId="0" applyAlignment="1" applyBorder="1" applyFont="1">
      <alignment vertical="center"/>
    </xf>
    <xf borderId="40" fillId="8" fontId="37" numFmtId="0" xfId="0" applyAlignment="1" applyBorder="1" applyFont="1">
      <alignment horizontal="left" readingOrder="0" shrinkToFit="0" vertical="center" wrapText="0"/>
    </xf>
    <xf borderId="38" fillId="8" fontId="38" numFmtId="166" xfId="0" applyAlignment="1" applyBorder="1" applyFont="1" applyNumberFormat="1">
      <alignment horizontal="center" readingOrder="0" vertical="center"/>
    </xf>
    <xf borderId="40" fillId="2" fontId="39" numFmtId="0" xfId="0" applyAlignment="1" applyBorder="1" applyFont="1">
      <alignment horizontal="left" readingOrder="0" shrinkToFit="0" vertical="center" wrapText="0"/>
    </xf>
    <xf borderId="40" fillId="2" fontId="24" numFmtId="0" xfId="0" applyAlignment="1" applyBorder="1" applyFont="1">
      <alignment horizontal="left" shrinkToFit="0" vertical="center" wrapText="0"/>
    </xf>
    <xf borderId="38" fillId="2" fontId="24" numFmtId="166" xfId="0" applyAlignment="1" applyBorder="1" applyFont="1" applyNumberFormat="1">
      <alignment horizontal="center" readingOrder="0" vertical="center"/>
    </xf>
    <xf borderId="40" fillId="8" fontId="40" numFmtId="0" xfId="0" applyAlignment="1" applyBorder="1" applyFont="1">
      <alignment horizontal="left" readingOrder="0" shrinkToFit="0" vertical="center" wrapText="0"/>
    </xf>
    <xf borderId="40" fillId="2" fontId="41" numFmtId="0" xfId="0" applyAlignment="1" applyBorder="1" applyFont="1">
      <alignment horizontal="left" readingOrder="0" shrinkToFit="0" vertical="center" wrapText="0"/>
    </xf>
    <xf borderId="45" fillId="8" fontId="42" numFmtId="0" xfId="0" applyAlignment="1" applyBorder="1" applyFont="1">
      <alignment horizontal="left" readingOrder="0" shrinkToFit="0" wrapText="0"/>
    </xf>
    <xf borderId="42" fillId="2" fontId="24" numFmtId="0" xfId="0" applyAlignment="1" applyBorder="1" applyFont="1">
      <alignment vertical="bottom"/>
    </xf>
    <xf borderId="45" fillId="2" fontId="43" numFmtId="0" xfId="0" applyAlignment="1" applyBorder="1" applyFont="1">
      <alignment horizontal="left" readingOrder="0" shrinkToFit="0" wrapText="0"/>
    </xf>
    <xf borderId="0" fillId="8" fontId="44" numFmtId="0" xfId="0" applyAlignment="1" applyFont="1">
      <alignment readingOrder="0" shrinkToFit="0" vertical="bottom" wrapText="0"/>
    </xf>
    <xf borderId="45" fillId="8" fontId="45" numFmtId="0" xfId="0" applyAlignment="1" applyBorder="1" applyFont="1">
      <alignment horizontal="left" readingOrder="0" shrinkToFit="0" vertical="center" wrapText="0"/>
    </xf>
    <xf borderId="0" fillId="2" fontId="46" numFmtId="0" xfId="0" applyAlignment="1" applyFont="1">
      <alignment readingOrder="0" shrinkToFit="0" vertical="bottom" wrapText="0"/>
    </xf>
    <xf borderId="0" fillId="8" fontId="47" numFmtId="0" xfId="0" applyAlignment="1" applyFont="1">
      <alignment readingOrder="0" vertical="bottom"/>
    </xf>
    <xf borderId="0" fillId="2" fontId="48" numFmtId="0" xfId="0" applyAlignment="1" applyFont="1">
      <alignment readingOrder="0" vertical="bottom"/>
    </xf>
    <xf borderId="45" fillId="2" fontId="24" numFmtId="0" xfId="0" applyAlignment="1" applyBorder="1" applyFont="1">
      <alignment horizontal="left" readingOrder="0" shrinkToFit="0" wrapText="0"/>
    </xf>
    <xf borderId="45" fillId="8" fontId="24" numFmtId="0" xfId="0" applyAlignment="1" applyBorder="1" applyFont="1">
      <alignment horizontal="left" readingOrder="0" shrinkToFit="0" wrapText="0"/>
    </xf>
    <xf borderId="58" fillId="2" fontId="24" numFmtId="0" xfId="0" applyAlignment="1" applyBorder="1" applyFont="1">
      <alignment vertical="bottom"/>
    </xf>
    <xf borderId="59" fillId="2" fontId="24" numFmtId="0" xfId="0" applyAlignment="1" applyBorder="1" applyFont="1">
      <alignment horizontal="left" readingOrder="0" shrinkToFit="0" wrapText="0"/>
    </xf>
    <xf borderId="68" fillId="2" fontId="24" numFmtId="166" xfId="0" applyAlignment="1" applyBorder="1" applyFont="1" applyNumberFormat="1">
      <alignment horizontal="center" readingOrder="0" vertical="center"/>
    </xf>
    <xf borderId="4" fillId="2" fontId="1" numFmtId="0" xfId="0" applyBorder="1" applyFont="1"/>
    <xf borderId="33" fillId="2" fontId="1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E4645B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DF4E9"/>
          <bgColor rgb="FFEDF4E9"/>
        </patternFill>
      </fill>
      <border/>
    </dxf>
    <dxf>
      <font>
        <color rgb="FFCCCCCC"/>
      </font>
      <fill>
        <patternFill patternType="none"/>
      </fill>
      <border/>
    </dxf>
  </dxfs>
  <tableStyles count="1">
    <tableStyle count="2" pivot="0" name="WEIGHT TRACKING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12001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4001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4001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0:H6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EIGHT TRACKING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warm-ups%E2%80%94overview-videos.15/" TargetMode="External"/><Relationship Id="rId2" Type="http://schemas.openxmlformats.org/officeDocument/2006/relationships/hyperlink" Target="https://www.youtube.com/watch?v=VIuG50bSWkY&amp;list=PL10zWli3BEh-ETogl8tAKZFK-BMiWKOu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lifts%E2%80%94overview-videos.22/&amp;prefix_id=15" TargetMode="External"/><Relationship Id="rId2" Type="http://schemas.openxmlformats.org/officeDocument/2006/relationships/hyperlink" Target="https://www.youtube.com/watch?v=XWolDfbu6Ks&amp;list=PL10zWli3BEh_I2Tuaq96_vQNQv8IIHGNY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lifts%E2%80%94overview-videos.22/&amp;prefix_id=14" TargetMode="External"/><Relationship Id="rId2" Type="http://schemas.openxmlformats.org/officeDocument/2006/relationships/hyperlink" Target="https://www.youtube.com/watch?v=l3k5Us-ZsHo&amp;list=PL10zWli3BEh9bGdN51BZ-BVny-_NnCSU9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lifts%E2%80%94overview-videos.22/&amp;prefix_id=16" TargetMode="External"/><Relationship Id="rId2" Type="http://schemas.openxmlformats.org/officeDocument/2006/relationships/hyperlink" Target="https://www.youtube.com/watch?v=SQZ1jB05JBM&amp;list=PL10zWli3BEh_jr6bb25O__YLy9EDi5UCV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lifts%E2%80%94overview-videos.22/&amp;prefix_id=17" TargetMode="External"/><Relationship Id="rId2" Type="http://schemas.openxmlformats.org/officeDocument/2006/relationships/hyperlink" Target="https://www.youtube.com/watch?v=ckL3qplASnw&amp;list=PL10zWli3BEh82jgs9u8L-ZlysFiSS956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onytobeastly.com/forum/index.php?forums/how-to-do-the-lifts%E2%80%94overview-videos.22/&amp;prefix_id=18" TargetMode="External"/><Relationship Id="rId2" Type="http://schemas.openxmlformats.org/officeDocument/2006/relationships/hyperlink" Target="https://www.youtube.com/watch?v=2OOul1oQ81c&amp;list=PL10zWli3BEh9g7pBkHoaTkyL0SKHGO7F1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9NLJZbOZb1Q&amp;list=PL10zWli3BEh_I2Tuaq96_vQNQv8IIHGNY&amp;index=2" TargetMode="External"/><Relationship Id="rId42" Type="http://schemas.openxmlformats.org/officeDocument/2006/relationships/hyperlink" Target="https://www.youtube.com/watch?v=XWolDfbu6Ks&amp;list=PL10zWli3BEh_I2Tuaq96_vQNQv8IIHGNY&amp;index=10" TargetMode="External"/><Relationship Id="rId41" Type="http://schemas.openxmlformats.org/officeDocument/2006/relationships/hyperlink" Target="https://www.youtube.com/watch?v=9JC9UPlQjFs&amp;list=PL10zWli3BEh_I2Tuaq96_vQNQv8IIHGNY&amp;index=9" TargetMode="External"/><Relationship Id="rId44" Type="http://schemas.openxmlformats.org/officeDocument/2006/relationships/hyperlink" Target="https://www.youtube.com/watch?v=jX6kZ7Mrlq0&amp;list=PL10zWli3BEh82jgs9u8L-ZlysFiSS956k&amp;index=11" TargetMode="External"/><Relationship Id="rId43" Type="http://schemas.openxmlformats.org/officeDocument/2006/relationships/hyperlink" Target="https://www.youtube.com/watch?v=y5ENU64nEGg&amp;list=PL10zWli3BEh9g7pBkHoaTkyL0SKHGO7F1&amp;index=15" TargetMode="External"/><Relationship Id="rId46" Type="http://schemas.openxmlformats.org/officeDocument/2006/relationships/hyperlink" Target="https://www.youtube.com/watch?v=6i1n9w1KLow&amp;list=PL10zWli3BEh_I2Tuaq96_vQNQv8IIHGNY&amp;index=23" TargetMode="External"/><Relationship Id="rId45" Type="http://schemas.openxmlformats.org/officeDocument/2006/relationships/hyperlink" Target="https://www.youtube.com/watch?v=AAdH7_FWeJE&amp;list=PL10zWli3BEh_I2Tuaq96_vQNQv8IIHGNY&amp;index=11" TargetMode="External"/><Relationship Id="rId1" Type="http://schemas.openxmlformats.org/officeDocument/2006/relationships/hyperlink" Target="https://bonytobeastly.com/forum/index.php?forums/how-to-do-the-lifts%E2%80%94overview-videos.22/&amp;prefix_id=18" TargetMode="External"/><Relationship Id="rId2" Type="http://schemas.openxmlformats.org/officeDocument/2006/relationships/hyperlink" Target="https://www.youtube.com/@BonytoBeastly" TargetMode="External"/><Relationship Id="rId3" Type="http://schemas.openxmlformats.org/officeDocument/2006/relationships/hyperlink" Target="https://www.youtube.com/watch?v=lpZP0uL1t6c&amp;list=PL10zWli3BEh_I2Tuaq96_vQNQv8IIHGNY&amp;index=1" TargetMode="External"/><Relationship Id="rId4" Type="http://schemas.openxmlformats.org/officeDocument/2006/relationships/hyperlink" Target="https://www.youtube.com/watch?v=rC61aXWspQk&amp;list=PL10zWli3BEh82jgs9u8L-ZlysFiSS956k&amp;index=1" TargetMode="External"/><Relationship Id="rId9" Type="http://schemas.openxmlformats.org/officeDocument/2006/relationships/hyperlink" Target="https://www.youtube.com/watch?v=y3Uhtr5Sklo&amp;list=PL10zWli3BEh82jgs9u8L-ZlysFiSS956k&amp;index=4" TargetMode="External"/><Relationship Id="rId48" Type="http://schemas.openxmlformats.org/officeDocument/2006/relationships/hyperlink" Target="https://www.youtube.com/watch?v=Yjo6RbdPNgk&amp;list=PL10zWli3BEh9g7pBkHoaTkyL0SKHGO7F1&amp;index=15" TargetMode="External"/><Relationship Id="rId47" Type="http://schemas.openxmlformats.org/officeDocument/2006/relationships/hyperlink" Target="https://www.youtube.com/watch?v=xDE6_CmXGuM&amp;list=PL10zWli3BEh_I2Tuaq96_vQNQv8IIHGNY&amp;index=12" TargetMode="External"/><Relationship Id="rId49" Type="http://schemas.openxmlformats.org/officeDocument/2006/relationships/hyperlink" Target="https://www.youtube.com/watch?v=Yjo6RbdPNgk&amp;list=PL10zWli3BEh9g7pBkHoaTkyL0SKHGO7F1&amp;index=14" TargetMode="External"/><Relationship Id="rId5" Type="http://schemas.openxmlformats.org/officeDocument/2006/relationships/hyperlink" Target="https://www.youtube.com/watch?v=4msBWC7TQvk&amp;list=PL10zWli3BEh_jr6bb25O__YLy9EDi5UCV&amp;index=1" TargetMode="External"/><Relationship Id="rId6" Type="http://schemas.openxmlformats.org/officeDocument/2006/relationships/hyperlink" Target="https://www.youtube.com/watch?v=jf1TdPG8KnI&amp;list=PL10zWli3BEh_jr6bb25O__YLy9EDi5UCV&amp;index=11" TargetMode="External"/><Relationship Id="rId7" Type="http://schemas.openxmlformats.org/officeDocument/2006/relationships/hyperlink" Target="https://www.youtube.com/watch?v=jf1TdPG8KnI&amp;list=PL10zWli3BEh_jr6bb25O__YLy9EDi5UCV&amp;index=11" TargetMode="External"/><Relationship Id="rId8" Type="http://schemas.openxmlformats.org/officeDocument/2006/relationships/hyperlink" Target="https://www.youtube.com/watch?v=DQESPhMdqKs&amp;list=PL10zWli3BEh82jgs9u8L-ZlysFiSS956k&amp;index=3" TargetMode="External"/><Relationship Id="rId73" Type="http://schemas.openxmlformats.org/officeDocument/2006/relationships/hyperlink" Target="https://www.youtube.com/watch?v=OWa6F91Ubtg&amp;list=PL10zWli3BEh_I2Tuaq96_vQNQv8IIHGNY&amp;index=19" TargetMode="External"/><Relationship Id="rId72" Type="http://schemas.openxmlformats.org/officeDocument/2006/relationships/hyperlink" Target="https://www.youtube.com/watch?v=wWlQ9oM9Kj0&amp;list=PL10zWli3BEh_jr6bb25O__YLy9EDi5UCV&amp;index=31" TargetMode="External"/><Relationship Id="rId31" Type="http://schemas.openxmlformats.org/officeDocument/2006/relationships/hyperlink" Target="https://www.youtube.com/watch?v=MpDckeNjFG0&amp;list=PL10zWli3BEh_I2Tuaq96_vQNQv8IIHGNY&amp;index=3&amp;themeRefresh=1" TargetMode="External"/><Relationship Id="rId75" Type="http://schemas.openxmlformats.org/officeDocument/2006/relationships/drawing" Target="../drawings/drawing8.xml"/><Relationship Id="rId30" Type="http://schemas.openxmlformats.org/officeDocument/2006/relationships/hyperlink" Target="https://www.youtube.com/watch?v=bC4jqaijyuY&amp;list=PL10zWli3BEh_jr6bb25O__YLy9EDi5UCV&amp;index=26" TargetMode="External"/><Relationship Id="rId74" Type="http://schemas.openxmlformats.org/officeDocument/2006/relationships/hyperlink" Target="https://www.youtube.com/watch?v=zVdrtsGjKDM&amp;list=PL10zWli3BEh_jr6bb25O__YLy9EDi5UCV&amp;index=6" TargetMode="External"/><Relationship Id="rId33" Type="http://schemas.openxmlformats.org/officeDocument/2006/relationships/hyperlink" Target="https://www.youtube.com/watch?v=qvxlE9rCARU&amp;list=PL10zWli3BEh_I2Tuaq96_vQNQv8IIHGNY&amp;index=5" TargetMode="External"/><Relationship Id="rId32" Type="http://schemas.openxmlformats.org/officeDocument/2006/relationships/hyperlink" Target="https://www.youtube.com/watch?v=puZ6gvaB0VA&amp;list=PL10zWli3BEh_I2Tuaq96_vQNQv8IIHGNY&amp;index=5" TargetMode="External"/><Relationship Id="rId35" Type="http://schemas.openxmlformats.org/officeDocument/2006/relationships/hyperlink" Target="https://www.youtube.com/watch?v=iB_rNU7jd2E&amp;list=PL10zWli3BEh9bGdN51BZ-BVny-_NnCSU9&amp;index=24" TargetMode="External"/><Relationship Id="rId34" Type="http://schemas.openxmlformats.org/officeDocument/2006/relationships/hyperlink" Target="https://www.youtube.com/watch?v=Jw5ueAxUWks&amp;list=PL10zWli3BEh_I2Tuaq96_vQNQv8IIHGNY&amp;index=6" TargetMode="External"/><Relationship Id="rId71" Type="http://schemas.openxmlformats.org/officeDocument/2006/relationships/hyperlink" Target="https://www.youtube.com/watch?v=zQeWnVDqAws&amp;list=PL10zWli3BEh_I2Tuaq96_vQNQv8IIHGNY&amp;index=18" TargetMode="External"/><Relationship Id="rId70" Type="http://schemas.openxmlformats.org/officeDocument/2006/relationships/hyperlink" Target="https://www.youtube.com/watch?v=MxqIc6tgkbQ&amp;list=PL10zWli3BEh_jr6bb25O__YLy9EDi5UCV&amp;index=18" TargetMode="External"/><Relationship Id="rId37" Type="http://schemas.openxmlformats.org/officeDocument/2006/relationships/hyperlink" Target="https://www.youtube.com/watch?v=ArNNKJPIYBU&amp;list=PL10zWli3BEh_jr6bb25O__YLy9EDi5UCV&amp;index=9" TargetMode="External"/><Relationship Id="rId36" Type="http://schemas.openxmlformats.org/officeDocument/2006/relationships/hyperlink" Target="https://www.youtube.com/watch?v=u17rZtlJVJM&amp;list=PL10zWli3BEh_I2Tuaq96_vQNQv8IIHGNY&amp;index=7" TargetMode="External"/><Relationship Id="rId39" Type="http://schemas.openxmlformats.org/officeDocument/2006/relationships/hyperlink" Target="https://www.youtube.com/watch?v=eQoxif-VWVI&amp;list=PL10zWli3BEh9bGdN51BZ-BVny-_NnCSU9&amp;index=22" TargetMode="External"/><Relationship Id="rId38" Type="http://schemas.openxmlformats.org/officeDocument/2006/relationships/hyperlink" Target="https://www.youtube.com/watch?v=wOdaF2Zic9o&amp;list=PL10zWli3BEh_I2Tuaq96_vQNQv8IIHGNY&amp;index=8" TargetMode="External"/><Relationship Id="rId62" Type="http://schemas.openxmlformats.org/officeDocument/2006/relationships/hyperlink" Target="https://www.youtube.com/watch?v=SQZ1jB05JBM&amp;list=PL10zWli3BEh_jr6bb25O__YLy9EDi5UCV&amp;index=15" TargetMode="External"/><Relationship Id="rId61" Type="http://schemas.openxmlformats.org/officeDocument/2006/relationships/hyperlink" Target="https://www.youtube.com/watch?v=0KKVa9_GTTE&amp;list=PL10zWli3BEh_I2Tuaq96_vQNQv8IIHGNY&amp;index=27" TargetMode="External"/><Relationship Id="rId20" Type="http://schemas.openxmlformats.org/officeDocument/2006/relationships/hyperlink" Target="https://www.youtube.com/watch?v=kdS0ImrIg8o&amp;list=PL10zWli3BEh9g7pBkHoaTkyL0SKHGO7F1&amp;index=29" TargetMode="External"/><Relationship Id="rId64" Type="http://schemas.openxmlformats.org/officeDocument/2006/relationships/hyperlink" Target="https://www.youtube.com/watch?v=lZ1or-qPQdM&amp;list=PL10zWli3BEh_I2Tuaq96_vQNQv8IIHGNY&amp;index=17" TargetMode="External"/><Relationship Id="rId63" Type="http://schemas.openxmlformats.org/officeDocument/2006/relationships/hyperlink" Target="https://www.youtube.com/watch?v=1DLRdHDFieM&amp;list=PL10zWli3BEh_I2Tuaq96_vQNQv8IIHGNY&amp;index=26" TargetMode="External"/><Relationship Id="rId22" Type="http://schemas.openxmlformats.org/officeDocument/2006/relationships/hyperlink" Target="https://www.youtube.com/watch?v=9JC9UPlQjFs&amp;list=PL10zWli3BEh_I2Tuaq96_vQNQv8IIHGNY&amp;index=9" TargetMode="External"/><Relationship Id="rId66" Type="http://schemas.openxmlformats.org/officeDocument/2006/relationships/hyperlink" Target="https://www.youtube.com/watch?v=b3NEn4Lu9EU&amp;list=PL10zWli3BEh9g7pBkHoaTkyL0SKHGO7F1&amp;index=19" TargetMode="External"/><Relationship Id="rId21" Type="http://schemas.openxmlformats.org/officeDocument/2006/relationships/hyperlink" Target="https://www.youtube.com/watch?v=9NLJZbOZb1Q&amp;list=PL10zWli3BEh_I2Tuaq96_vQNQv8IIHGNY&amp;index=2" TargetMode="External"/><Relationship Id="rId65" Type="http://schemas.openxmlformats.org/officeDocument/2006/relationships/hyperlink" Target="https://www.youtube.com/watch?v=xIcc3s-nNw4&amp;list=PL10zWli3BEh9g7pBkHoaTkyL0SKHGO7F1&amp;index=18" TargetMode="External"/><Relationship Id="rId24" Type="http://schemas.openxmlformats.org/officeDocument/2006/relationships/hyperlink" Target="https://www.youtube.com/watch?v=BxCPpmYih34&amp;list=PL10zWli3BEh_I2Tuaq96_vQNQv8IIHGNY&amp;index=28" TargetMode="External"/><Relationship Id="rId68" Type="http://schemas.openxmlformats.org/officeDocument/2006/relationships/hyperlink" Target="https://www.youtube.com/watch?v=UedPvTPidOg&amp;list=PL10zWli3BEh9g7pBkHoaTkyL0SKHGO7F1&amp;index=20" TargetMode="External"/><Relationship Id="rId23" Type="http://schemas.openxmlformats.org/officeDocument/2006/relationships/hyperlink" Target="https://www.youtube.com/watch?v=YydOwCK45DU&amp;list=PL10zWli3BEh9g7pBkHoaTkyL0SKHGO7F1&amp;index=7" TargetMode="External"/><Relationship Id="rId67" Type="http://schemas.openxmlformats.org/officeDocument/2006/relationships/hyperlink" Target="https://www.youtube.com/watch?v=nzqAkDoKpUk&amp;list=PL10zWli3BEh_jr6bb25O__YLy9EDi5UCV&amp;index=16" TargetMode="External"/><Relationship Id="rId60" Type="http://schemas.openxmlformats.org/officeDocument/2006/relationships/hyperlink" Target="https://www.youtube.com/watch?v=gBuxdLK8hqU&amp;list=PL10zWli3BEh_I2Tuaq96_vQNQv8IIHGNY&amp;index=14" TargetMode="External"/><Relationship Id="rId26" Type="http://schemas.openxmlformats.org/officeDocument/2006/relationships/hyperlink" Target="https://www.youtube.com/watch?v=zVdrtsGjKDM&amp;list=PL10zWli3BEh_jr6bb25O__YLy9EDi5UCV&amp;index=6" TargetMode="External"/><Relationship Id="rId25" Type="http://schemas.openxmlformats.org/officeDocument/2006/relationships/hyperlink" Target="https://www.youtube.com/watch?v=xqbo6TtnaeE&amp;list=PL10zWli3BEh82jgs9u8L-ZlysFiSS956k&amp;index=21" TargetMode="External"/><Relationship Id="rId69" Type="http://schemas.openxmlformats.org/officeDocument/2006/relationships/hyperlink" Target="https://www.youtube.com/watch?v=KuCO93JjJBY&amp;list=PL10zWli3BEh_jr6bb25O__YLy9EDi5UCV&amp;index=17" TargetMode="External"/><Relationship Id="rId28" Type="http://schemas.openxmlformats.org/officeDocument/2006/relationships/hyperlink" Target="https://www.youtube.com/watch?v=65R1u3hdbcw&amp;list=PL10zWli3BEh9g7pBkHoaTkyL0SKHGO7F1&amp;index=11" TargetMode="External"/><Relationship Id="rId27" Type="http://schemas.openxmlformats.org/officeDocument/2006/relationships/hyperlink" Target="https://www.youtube.com/watch?v=eJ3rhl8a7do&amp;list=PL10zWli3BEh_jr6bb25O__YLy9EDi5UCV&amp;index=5" TargetMode="External"/><Relationship Id="rId29" Type="http://schemas.openxmlformats.org/officeDocument/2006/relationships/hyperlink" Target="https://www.youtube.com/watch?v=WbIOOS449ow&amp;list=PL10zWli3BEh9g7pBkHoaTkyL0SKHGO7F1&amp;index=30" TargetMode="External"/><Relationship Id="rId51" Type="http://schemas.openxmlformats.org/officeDocument/2006/relationships/hyperlink" Target="https://www.youtube.com/watch?v=xV-6iJsB0WY&amp;list=PL10zWli3BEh_jr6bb25O__YLy9EDi5UCV&amp;index=28" TargetMode="External"/><Relationship Id="rId50" Type="http://schemas.openxmlformats.org/officeDocument/2006/relationships/hyperlink" Target="https://www.youtube.com/watch?v=I1I976ARFjw&amp;list=PL10zWli3BEh82jgs9u8L-ZlysFiSS956k&amp;index=13" TargetMode="External"/><Relationship Id="rId53" Type="http://schemas.openxmlformats.org/officeDocument/2006/relationships/hyperlink" Target="https://www.youtube.com/watch?v=y5ENU64nEGg&amp;list=PL10zWli3BEh9g7pBkHoaTkyL0SKHGO7F1&amp;index=15" TargetMode="External"/><Relationship Id="rId52" Type="http://schemas.openxmlformats.org/officeDocument/2006/relationships/hyperlink" Target="https://www.youtube.com/watch?v=DK-ia_fowTI&amp;list=PL10zWli3BEh_jr6bb25O__YLy9EDi5UCV&amp;index=29" TargetMode="External"/><Relationship Id="rId11" Type="http://schemas.openxmlformats.org/officeDocument/2006/relationships/hyperlink" Target="https://www.youtube.com/watch?v=8XOMtdqjBy8&amp;list=PL10zWli3BEh_I2Tuaq96_vQNQv8IIHGNY&amp;index=21" TargetMode="External"/><Relationship Id="rId55" Type="http://schemas.openxmlformats.org/officeDocument/2006/relationships/hyperlink" Target="https://www.youtube.com/watch?v=CvfluSEC7JE&amp;list=PL10zWli3BEh_I2Tuaq96_vQNQv8IIHGNY&amp;index=13" TargetMode="External"/><Relationship Id="rId10" Type="http://schemas.openxmlformats.org/officeDocument/2006/relationships/hyperlink" Target="https://www.youtube.com/watch?v=iUGvoMwRBR4&amp;list=PL10zWli3BEh_I2Tuaq96_vQNQv8IIHGNY&amp;index=20" TargetMode="External"/><Relationship Id="rId54" Type="http://schemas.openxmlformats.org/officeDocument/2006/relationships/hyperlink" Target="https://www.youtube.com/watch?v=QlMsYB5SSDc&amp;list=PL10zWli3BEh9g7pBkHoaTkyL0SKHGO7F1&amp;index=35" TargetMode="External"/><Relationship Id="rId13" Type="http://schemas.openxmlformats.org/officeDocument/2006/relationships/hyperlink" Target="https://www.youtube.com/watch?v=F4MR4KlFNxY&amp;list=PL10zWli3BEh_I2Tuaq96_vQNQv8IIHGNY&amp;index=22" TargetMode="External"/><Relationship Id="rId57" Type="http://schemas.openxmlformats.org/officeDocument/2006/relationships/hyperlink" Target="https://www.youtube.com/watch?v=mbUWpvDf6Rg&amp;list=PL10zWli3BEh_jr6bb25O__YLy9EDi5UCV&amp;index=12" TargetMode="External"/><Relationship Id="rId12" Type="http://schemas.openxmlformats.org/officeDocument/2006/relationships/hyperlink" Target="https://www.youtube.com/watch?v=F4MR4KlFNxY&amp;list=PL10zWli3BEh_I2Tuaq96_vQNQv8IIHGNY&amp;index=22" TargetMode="External"/><Relationship Id="rId56" Type="http://schemas.openxmlformats.org/officeDocument/2006/relationships/hyperlink" Target="https://www.youtube.com/watch?v=DJjlDbH7aYI&amp;list=PL10zWli3BEh_I2Tuaq96_vQNQv8IIHGNY&amp;index=16" TargetMode="External"/><Relationship Id="rId15" Type="http://schemas.openxmlformats.org/officeDocument/2006/relationships/hyperlink" Target="https://www.youtube.com/watch?v=6i1n9w1KLow&amp;list=PL10zWli3BEh_I2Tuaq96_vQNQv8IIHGNY&amp;index=23" TargetMode="External"/><Relationship Id="rId59" Type="http://schemas.openxmlformats.org/officeDocument/2006/relationships/hyperlink" Target="https://www.youtube.com/watch?v=Ucy-R3BJNzU&amp;list=PL10zWli3BEh_I2Tuaq96_vQNQv8IIHGNY&amp;index=15" TargetMode="External"/><Relationship Id="rId14" Type="http://schemas.openxmlformats.org/officeDocument/2006/relationships/hyperlink" Target="https://www.youtube.com/watch?v=ckL3qplASnw&amp;list=PL10zWli3BEh82jgs9u8L-ZlysFiSS956k&amp;index=6" TargetMode="External"/><Relationship Id="rId58" Type="http://schemas.openxmlformats.org/officeDocument/2006/relationships/hyperlink" Target="https://www.youtube.com/watch?v=MurVKrbrHjU&amp;list=PL10zWli3BEh_jr6bb25O__YLy9EDi5UCV&amp;index=14" TargetMode="External"/><Relationship Id="rId17" Type="http://schemas.openxmlformats.org/officeDocument/2006/relationships/hyperlink" Target="https://www.youtube.com/watch?v=IrMgyxfytuc&amp;list=PL10zWli3BEh_I2Tuaq96_vQNQv8IIHGNY&amp;index=24" TargetMode="External"/><Relationship Id="rId16" Type="http://schemas.openxmlformats.org/officeDocument/2006/relationships/hyperlink" Target="https://www.youtube.com/watch?v=vMLI0USvgbo&amp;list=PL10zWli3BEh9g7pBkHoaTkyL0SKHGO7F1&amp;index=25" TargetMode="External"/><Relationship Id="rId19" Type="http://schemas.openxmlformats.org/officeDocument/2006/relationships/hyperlink" Target="https://www.youtube.com/watch?v=4ggofynSkYA&amp;list=PL10zWli3BEh_I2Tuaq96_vQNQv8IIHGNY&amp;index=25" TargetMode="External"/><Relationship Id="rId18" Type="http://schemas.openxmlformats.org/officeDocument/2006/relationships/hyperlink" Target="https://www.youtube.com/watch?v=9NLJZbOZb1Q&amp;list=PL10zWli3BEh_I2Tuaq96_vQNQv8IIHGNY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27F9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4" width="15.75"/>
    <col customWidth="1" min="5" max="5" width="9.5"/>
    <col customWidth="1" min="6" max="6" width="0.75"/>
    <col customWidth="1" min="7" max="14" width="9.5"/>
  </cols>
  <sheetData>
    <row r="1">
      <c r="A1" s="1"/>
    </row>
    <row r="2" ht="15.75" customHeight="1">
      <c r="A2" s="2"/>
      <c r="B2" s="3"/>
      <c r="C2" s="3"/>
      <c r="D2" s="3"/>
      <c r="E2" s="3"/>
      <c r="F2" s="4"/>
      <c r="G2" s="4"/>
      <c r="H2" s="4"/>
      <c r="I2" s="4"/>
      <c r="J2" s="4"/>
      <c r="K2" s="4"/>
      <c r="L2" s="5"/>
      <c r="M2" s="5"/>
      <c r="N2" s="6"/>
    </row>
    <row r="3" ht="15.0" customHeight="1">
      <c r="A3" s="2"/>
      <c r="B3" s="7"/>
      <c r="C3" s="8"/>
      <c r="F3" s="9"/>
      <c r="G3" s="9" t="s">
        <v>0</v>
      </c>
      <c r="H3" s="10"/>
      <c r="I3" s="10"/>
      <c r="J3" s="10"/>
      <c r="K3" s="10"/>
      <c r="L3" s="11" t="s">
        <v>1</v>
      </c>
      <c r="M3" s="12"/>
      <c r="N3" s="6"/>
    </row>
    <row r="4" ht="15.0" customHeight="1">
      <c r="A4" s="2"/>
      <c r="B4" s="7"/>
      <c r="F4" s="13"/>
      <c r="G4" s="13" t="s">
        <v>2</v>
      </c>
      <c r="H4" s="10"/>
      <c r="I4" s="10"/>
      <c r="J4" s="10"/>
      <c r="K4" s="10"/>
      <c r="L4" s="14" t="s">
        <v>3</v>
      </c>
      <c r="M4" s="12"/>
      <c r="N4" s="15"/>
    </row>
    <row r="5">
      <c r="A5" s="2"/>
      <c r="B5" s="16"/>
      <c r="C5" s="16"/>
      <c r="D5" s="16"/>
      <c r="E5" s="16"/>
      <c r="F5" s="17"/>
      <c r="G5" s="17"/>
      <c r="H5" s="17"/>
      <c r="I5" s="17"/>
      <c r="J5" s="17"/>
      <c r="K5" s="17"/>
      <c r="L5" s="18"/>
      <c r="M5" s="18"/>
      <c r="N5" s="19"/>
    </row>
    <row r="6" ht="13.5" customHeight="1">
      <c r="A6" s="2"/>
      <c r="B6" s="20" t="s">
        <v>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6"/>
    </row>
    <row r="7" ht="13.5" customHeight="1">
      <c r="A7" s="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6"/>
    </row>
    <row r="8" ht="31.5" customHeight="1">
      <c r="A8" s="24"/>
      <c r="B8" s="25"/>
      <c r="C8" s="26" t="s">
        <v>5</v>
      </c>
      <c r="D8" s="27"/>
      <c r="E8" s="28"/>
      <c r="F8" s="29"/>
      <c r="G8" s="30" t="s">
        <v>6</v>
      </c>
      <c r="H8" s="27"/>
      <c r="I8" s="27"/>
      <c r="J8" s="27"/>
      <c r="K8" s="27"/>
      <c r="L8" s="27"/>
      <c r="M8" s="31"/>
      <c r="N8" s="32"/>
    </row>
    <row r="9" ht="31.5" customHeight="1">
      <c r="A9" s="24"/>
      <c r="B9" s="33"/>
      <c r="C9" s="34" t="s">
        <v>7</v>
      </c>
      <c r="D9" s="35"/>
      <c r="E9" s="36"/>
      <c r="F9" s="37"/>
      <c r="G9" s="38" t="s">
        <v>8</v>
      </c>
      <c r="H9" s="35"/>
      <c r="I9" s="35"/>
      <c r="J9" s="35"/>
      <c r="K9" s="35"/>
      <c r="L9" s="35"/>
      <c r="M9" s="39"/>
      <c r="N9" s="32"/>
    </row>
    <row r="10" ht="31.5" customHeight="1">
      <c r="A10" s="24"/>
      <c r="B10" s="33"/>
      <c r="C10" s="34" t="s">
        <v>9</v>
      </c>
      <c r="D10" s="35"/>
      <c r="E10" s="36"/>
      <c r="F10" s="37"/>
      <c r="G10" s="38" t="s">
        <v>8</v>
      </c>
      <c r="H10" s="35"/>
      <c r="I10" s="35"/>
      <c r="J10" s="35"/>
      <c r="K10" s="35"/>
      <c r="L10" s="35"/>
      <c r="M10" s="39"/>
      <c r="N10" s="32"/>
    </row>
    <row r="11" ht="31.5" customHeight="1">
      <c r="A11" s="24"/>
      <c r="B11" s="40"/>
      <c r="C11" s="41" t="s">
        <v>10</v>
      </c>
      <c r="D11" s="42"/>
      <c r="E11" s="43"/>
      <c r="F11" s="44"/>
      <c r="G11" s="45" t="s">
        <v>11</v>
      </c>
      <c r="H11" s="42"/>
      <c r="I11" s="42"/>
      <c r="J11" s="42"/>
      <c r="K11" s="42"/>
      <c r="L11" s="42"/>
      <c r="M11" s="46"/>
      <c r="N11" s="32"/>
    </row>
    <row r="12" ht="13.5" customHeight="1">
      <c r="A12" s="2"/>
      <c r="B12" s="20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15"/>
    </row>
    <row r="13" ht="13.5" customHeight="1">
      <c r="A13" s="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15"/>
    </row>
    <row r="14" ht="31.5" customHeight="1">
      <c r="A14" s="24"/>
      <c r="B14" s="47"/>
      <c r="C14" s="26" t="s">
        <v>13</v>
      </c>
      <c r="D14" s="27"/>
      <c r="E14" s="28"/>
      <c r="F14" s="29"/>
      <c r="G14" s="30" t="s">
        <v>11</v>
      </c>
      <c r="H14" s="27"/>
      <c r="I14" s="27"/>
      <c r="J14" s="27"/>
      <c r="K14" s="27"/>
      <c r="L14" s="27"/>
      <c r="M14" s="31"/>
      <c r="N14" s="48"/>
    </row>
    <row r="15" ht="31.5" customHeight="1">
      <c r="A15" s="24"/>
      <c r="B15" s="49"/>
      <c r="C15" s="50" t="s">
        <v>14</v>
      </c>
      <c r="D15" s="42"/>
      <c r="E15" s="43"/>
      <c r="F15" s="51"/>
      <c r="G15" s="52" t="s">
        <v>15</v>
      </c>
      <c r="H15" s="42"/>
      <c r="I15" s="42"/>
      <c r="J15" s="42"/>
      <c r="K15" s="42"/>
      <c r="L15" s="42"/>
      <c r="M15" s="46"/>
      <c r="N15" s="48"/>
    </row>
    <row r="16" ht="13.5" customHeight="1">
      <c r="A16" s="2"/>
      <c r="B16" s="20" t="s">
        <v>16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6"/>
    </row>
    <row r="17" ht="13.5" customHeight="1">
      <c r="A17" s="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15"/>
    </row>
    <row r="18" ht="31.5" customHeight="1">
      <c r="A18" s="2"/>
      <c r="B18" s="47"/>
      <c r="C18" s="26" t="s">
        <v>17</v>
      </c>
      <c r="D18" s="27"/>
      <c r="E18" s="28"/>
      <c r="F18" s="29"/>
      <c r="G18" s="30" t="s">
        <v>18</v>
      </c>
      <c r="H18" s="27"/>
      <c r="I18" s="27"/>
      <c r="J18" s="27"/>
      <c r="K18" s="27"/>
      <c r="L18" s="27"/>
      <c r="M18" s="31"/>
      <c r="N18" s="15"/>
    </row>
    <row r="19" ht="31.5" customHeight="1">
      <c r="A19" s="2"/>
      <c r="B19" s="53"/>
      <c r="C19" s="34" t="s">
        <v>19</v>
      </c>
      <c r="D19" s="35"/>
      <c r="E19" s="36"/>
      <c r="F19" s="37"/>
      <c r="G19" s="38" t="s">
        <v>15</v>
      </c>
      <c r="H19" s="35"/>
      <c r="I19" s="35"/>
      <c r="J19" s="35"/>
      <c r="K19" s="35"/>
      <c r="L19" s="35"/>
      <c r="M19" s="39"/>
      <c r="N19" s="15"/>
    </row>
    <row r="20" ht="31.5" customHeight="1">
      <c r="A20" s="2"/>
      <c r="B20" s="53"/>
      <c r="C20" s="34" t="s">
        <v>20</v>
      </c>
      <c r="D20" s="35"/>
      <c r="E20" s="36"/>
      <c r="F20" s="37"/>
      <c r="G20" s="38" t="s">
        <v>21</v>
      </c>
      <c r="H20" s="35"/>
      <c r="I20" s="35"/>
      <c r="J20" s="35"/>
      <c r="K20" s="35"/>
      <c r="L20" s="35"/>
      <c r="M20" s="39"/>
      <c r="N20" s="15"/>
    </row>
    <row r="21" ht="31.5" customHeight="1">
      <c r="A21" s="2"/>
      <c r="B21" s="53"/>
      <c r="C21" s="34" t="s">
        <v>22</v>
      </c>
      <c r="D21" s="35"/>
      <c r="E21" s="36"/>
      <c r="F21" s="37"/>
      <c r="G21" s="38" t="s">
        <v>15</v>
      </c>
      <c r="H21" s="35"/>
      <c r="I21" s="35"/>
      <c r="J21" s="35"/>
      <c r="K21" s="35"/>
      <c r="L21" s="35"/>
      <c r="M21" s="39"/>
      <c r="N21" s="15"/>
    </row>
    <row r="22" ht="31.5" customHeight="1">
      <c r="A22" s="2"/>
      <c r="B22" s="54"/>
      <c r="C22" s="55" t="s">
        <v>23</v>
      </c>
      <c r="D22" s="56"/>
      <c r="E22" s="57"/>
      <c r="F22" s="58"/>
      <c r="G22" s="59" t="s">
        <v>24</v>
      </c>
      <c r="H22" s="56"/>
      <c r="I22" s="56"/>
      <c r="J22" s="56"/>
      <c r="K22" s="56"/>
      <c r="L22" s="56"/>
      <c r="M22" s="60"/>
      <c r="N22" s="6"/>
    </row>
    <row r="23">
      <c r="B23" s="61"/>
      <c r="C23" s="61"/>
      <c r="D23" s="61"/>
      <c r="E23" s="61"/>
      <c r="F23" s="62"/>
      <c r="G23" s="62"/>
    </row>
    <row r="24">
      <c r="B24" s="61"/>
      <c r="C24" s="61"/>
      <c r="D24" s="61"/>
      <c r="E24" s="61"/>
      <c r="F24" s="62"/>
      <c r="G24" s="62"/>
      <c r="H24" s="62"/>
      <c r="I24" s="62"/>
      <c r="J24" s="62"/>
      <c r="K24" s="62"/>
      <c r="L24" s="62"/>
      <c r="M24" s="62"/>
    </row>
    <row r="25">
      <c r="B25" s="61"/>
      <c r="C25" s="61"/>
      <c r="D25" s="61"/>
      <c r="E25" s="61"/>
      <c r="F25" s="62"/>
      <c r="G25" s="62"/>
      <c r="H25" s="62"/>
      <c r="I25" s="62"/>
      <c r="J25" s="62"/>
      <c r="K25" s="62"/>
      <c r="L25" s="62"/>
      <c r="M25" s="62"/>
    </row>
  </sheetData>
  <mergeCells count="27">
    <mergeCell ref="C3:E4"/>
    <mergeCell ref="B6:M7"/>
    <mergeCell ref="C8:E8"/>
    <mergeCell ref="G8:M8"/>
    <mergeCell ref="C9:E9"/>
    <mergeCell ref="G9:M9"/>
    <mergeCell ref="G10:M10"/>
    <mergeCell ref="G20:M20"/>
    <mergeCell ref="G21:M21"/>
    <mergeCell ref="G22:M22"/>
    <mergeCell ref="G23:M23"/>
    <mergeCell ref="G11:M11"/>
    <mergeCell ref="B12:M13"/>
    <mergeCell ref="G14:M14"/>
    <mergeCell ref="G15:M15"/>
    <mergeCell ref="B16:M17"/>
    <mergeCell ref="G18:M18"/>
    <mergeCell ref="G19:M19"/>
    <mergeCell ref="C21:E21"/>
    <mergeCell ref="C22:E22"/>
    <mergeCell ref="C10:E10"/>
    <mergeCell ref="C11:E11"/>
    <mergeCell ref="C14:E14"/>
    <mergeCell ref="C15:E15"/>
    <mergeCell ref="C18:E18"/>
    <mergeCell ref="C19:E19"/>
    <mergeCell ref="C20:E20"/>
  </mergeCells>
  <conditionalFormatting sqref="F14:G15 F18:G25">
    <cfRule type="cellIs" dxfId="0" priority="1" operator="equal">
      <formula>"Pending"</formula>
    </cfRule>
  </conditionalFormatting>
  <hyperlinks>
    <hyperlink r:id="rId1" ref="L3"/>
    <hyperlink r:id="rId2" ref="L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2424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15.75"/>
    <col customWidth="1" min="4" max="4" width="16.38"/>
    <col customWidth="1" min="5" max="13" width="9.5"/>
  </cols>
  <sheetData>
    <row r="1">
      <c r="A1" s="1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5.75" customHeight="1">
      <c r="B2" s="64"/>
      <c r="C2" s="65"/>
      <c r="D2" s="65"/>
      <c r="E2" s="65"/>
      <c r="F2" s="66"/>
      <c r="G2" s="66"/>
      <c r="H2" s="66"/>
      <c r="I2" s="66"/>
      <c r="J2" s="67"/>
      <c r="K2" s="67"/>
      <c r="L2" s="68"/>
    </row>
    <row r="3" ht="15.0" customHeight="1">
      <c r="B3" s="69"/>
      <c r="C3" s="8"/>
      <c r="F3" s="9" t="s">
        <v>25</v>
      </c>
      <c r="G3" s="9"/>
      <c r="H3" s="70" t="s">
        <v>26</v>
      </c>
      <c r="I3" s="71">
        <v>45658.0</v>
      </c>
      <c r="J3" s="71"/>
      <c r="K3" s="11" t="s">
        <v>1</v>
      </c>
      <c r="L3" s="72"/>
    </row>
    <row r="4" ht="15.0" customHeight="1">
      <c r="B4" s="69"/>
      <c r="F4" s="13" t="s">
        <v>27</v>
      </c>
      <c r="G4" s="13"/>
      <c r="H4" s="73" t="s">
        <v>28</v>
      </c>
      <c r="I4" s="74" t="s">
        <v>29</v>
      </c>
      <c r="J4" s="74"/>
      <c r="K4" s="14" t="s">
        <v>3</v>
      </c>
      <c r="L4" s="72"/>
      <c r="M4" s="75"/>
    </row>
    <row r="5">
      <c r="B5" s="69"/>
      <c r="C5" s="7"/>
      <c r="D5" s="7"/>
      <c r="E5" s="7"/>
      <c r="F5" s="76"/>
      <c r="G5" s="76"/>
      <c r="H5" s="76"/>
      <c r="I5" s="76"/>
      <c r="J5" s="77"/>
      <c r="K5" s="77"/>
      <c r="L5" s="78"/>
      <c r="M5" s="79"/>
    </row>
    <row r="6" ht="13.5" customHeight="1">
      <c r="B6" s="20" t="s">
        <v>30</v>
      </c>
      <c r="C6" s="21"/>
      <c r="D6" s="21"/>
      <c r="E6" s="21"/>
      <c r="F6" s="21"/>
      <c r="G6" s="21"/>
      <c r="H6" s="21"/>
      <c r="I6" s="21"/>
      <c r="J6" s="21"/>
      <c r="K6" s="21"/>
      <c r="L6" s="80"/>
    </row>
    <row r="7" ht="13.5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81"/>
    </row>
    <row r="8" ht="16.5" customHeight="1">
      <c r="B8" s="82"/>
      <c r="C8" s="83" t="s">
        <v>31</v>
      </c>
      <c r="D8" s="84"/>
      <c r="E8" s="85" t="s">
        <v>32</v>
      </c>
      <c r="F8" s="86" t="s">
        <v>33</v>
      </c>
      <c r="G8" s="87" t="s">
        <v>34</v>
      </c>
      <c r="H8" s="88" t="s">
        <v>35</v>
      </c>
      <c r="I8" s="88" t="s">
        <v>36</v>
      </c>
      <c r="J8" s="88" t="s">
        <v>37</v>
      </c>
      <c r="K8" s="88" t="s">
        <v>38</v>
      </c>
      <c r="L8" s="89" t="s">
        <v>39</v>
      </c>
    </row>
    <row r="9" ht="16.5" customHeight="1">
      <c r="B9" s="90"/>
      <c r="C9" s="91" t="s">
        <v>40</v>
      </c>
      <c r="D9" s="92"/>
      <c r="E9" s="93">
        <v>1.0</v>
      </c>
      <c r="F9" s="94">
        <v>2.0</v>
      </c>
      <c r="G9" s="95">
        <v>10.0</v>
      </c>
      <c r="H9" s="96"/>
      <c r="I9" s="94"/>
      <c r="J9" s="94"/>
      <c r="K9" s="97"/>
      <c r="L9" s="98"/>
      <c r="M9" s="75"/>
    </row>
    <row r="10" ht="16.5" customHeight="1">
      <c r="B10" s="99"/>
      <c r="C10" s="100" t="s">
        <v>41</v>
      </c>
      <c r="D10" s="101"/>
      <c r="E10" s="102">
        <v>2.0</v>
      </c>
      <c r="F10" s="103">
        <v>3.0</v>
      </c>
      <c r="G10" s="104">
        <v>10.0</v>
      </c>
      <c r="H10" s="105"/>
      <c r="I10" s="103"/>
      <c r="J10" s="103"/>
      <c r="K10" s="106"/>
      <c r="L10" s="107"/>
      <c r="M10" s="75"/>
    </row>
    <row r="11" ht="16.5" customHeight="1">
      <c r="B11" s="99"/>
      <c r="C11" s="100" t="str">
        <f>IF(C9="Dumbbell Sumo Deadlift", "It's okay if these feel easy", "RIR: Stop 2 reps shy of failure (2 Reps in Reserve)")</f>
        <v>It's okay if these feel easy</v>
      </c>
      <c r="D11" s="101"/>
      <c r="E11" s="102">
        <v>3.0</v>
      </c>
      <c r="F11" s="103">
        <v>3.0</v>
      </c>
      <c r="G11" s="104">
        <v>10.0</v>
      </c>
      <c r="H11" s="105"/>
      <c r="I11" s="103"/>
      <c r="J11" s="103"/>
      <c r="K11" s="103"/>
      <c r="L11" s="107"/>
      <c r="M11" s="75"/>
    </row>
    <row r="12" ht="16.5" customHeight="1">
      <c r="B12" s="108"/>
      <c r="C12" s="109"/>
      <c r="D12" s="101"/>
      <c r="E12" s="102">
        <v>4.0</v>
      </c>
      <c r="F12" s="103">
        <v>3.0</v>
      </c>
      <c r="G12" s="104">
        <v>10.0</v>
      </c>
      <c r="H12" s="105"/>
      <c r="I12" s="103"/>
      <c r="J12" s="103"/>
      <c r="K12" s="103"/>
      <c r="L12" s="107"/>
      <c r="M12" s="75"/>
    </row>
    <row r="13" ht="16.5" customHeight="1">
      <c r="B13" s="110"/>
      <c r="C13" s="111" t="str">
        <f>iferror(vlookup(LEFT(C9,LEN(C9)-2)&amp;"*",ExcerciseLookup,3,FALSE),"")</f>
        <v>Video Tutorial</v>
      </c>
      <c r="D13" s="112"/>
      <c r="E13" s="113">
        <v>5.0</v>
      </c>
      <c r="F13" s="114">
        <v>3.0</v>
      </c>
      <c r="G13" s="115">
        <v>10.0</v>
      </c>
      <c r="H13" s="116"/>
      <c r="I13" s="114"/>
      <c r="J13" s="114"/>
      <c r="K13" s="114"/>
      <c r="L13" s="117"/>
      <c r="M13" s="75"/>
    </row>
    <row r="14" ht="16.5" customHeight="1">
      <c r="B14" s="118"/>
      <c r="C14" s="119" t="s">
        <v>22</v>
      </c>
      <c r="D14" s="120"/>
      <c r="E14" s="121">
        <v>1.0</v>
      </c>
      <c r="F14" s="122">
        <v>3.0</v>
      </c>
      <c r="G14" s="123" t="s">
        <v>42</v>
      </c>
      <c r="H14" s="124"/>
      <c r="I14" s="122"/>
      <c r="J14" s="122"/>
      <c r="K14" s="125"/>
      <c r="L14" s="126"/>
      <c r="M14" s="75"/>
    </row>
    <row r="15" ht="16.5" customHeight="1">
      <c r="B15" s="99"/>
      <c r="C15" s="100" t="s">
        <v>43</v>
      </c>
      <c r="D15" s="101"/>
      <c r="E15" s="102">
        <v>2.0</v>
      </c>
      <c r="F15" s="103">
        <v>4.0</v>
      </c>
      <c r="G15" s="104" t="s">
        <v>42</v>
      </c>
      <c r="H15" s="105"/>
      <c r="I15" s="103"/>
      <c r="J15" s="103"/>
      <c r="K15" s="103"/>
      <c r="L15" s="107"/>
      <c r="M15" s="75"/>
    </row>
    <row r="16" ht="16.5" customHeight="1">
      <c r="B16" s="99"/>
      <c r="C16" s="100" t="s">
        <v>44</v>
      </c>
      <c r="D16" s="101"/>
      <c r="E16" s="102">
        <v>3.0</v>
      </c>
      <c r="F16" s="103">
        <v>4.0</v>
      </c>
      <c r="G16" s="104" t="s">
        <v>42</v>
      </c>
      <c r="H16" s="105"/>
      <c r="I16" s="103"/>
      <c r="J16" s="103"/>
      <c r="K16" s="103"/>
      <c r="L16" s="107"/>
      <c r="M16" s="75"/>
    </row>
    <row r="17" ht="16.5" customHeight="1">
      <c r="B17" s="108"/>
      <c r="C17" s="100" t="s">
        <v>45</v>
      </c>
      <c r="D17" s="101"/>
      <c r="E17" s="102">
        <v>4.0</v>
      </c>
      <c r="F17" s="103">
        <v>4.0</v>
      </c>
      <c r="G17" s="104" t="s">
        <v>42</v>
      </c>
      <c r="H17" s="105"/>
      <c r="I17" s="103"/>
      <c r="J17" s="103"/>
      <c r="K17" s="103"/>
      <c r="L17" s="107"/>
      <c r="M17" s="75"/>
    </row>
    <row r="18" ht="16.5" customHeight="1">
      <c r="B18" s="127"/>
      <c r="C18" s="111" t="str">
        <f>iferror(vlookup(LEFT(C14,LEN(C14)-2)&amp;"*",ExcerciseLookup,3,FALSE),"")</f>
        <v>Video Tutorial</v>
      </c>
      <c r="D18" s="112"/>
      <c r="E18" s="128">
        <v>5.0</v>
      </c>
      <c r="F18" s="129">
        <v>4.0</v>
      </c>
      <c r="G18" s="130" t="s">
        <v>42</v>
      </c>
      <c r="H18" s="131"/>
      <c r="I18" s="129"/>
      <c r="J18" s="129"/>
      <c r="K18" s="129"/>
      <c r="L18" s="132"/>
      <c r="M18" s="75"/>
    </row>
    <row r="19" ht="13.5" customHeight="1">
      <c r="B19" s="20" t="s">
        <v>46</v>
      </c>
      <c r="C19" s="21"/>
      <c r="D19" s="21"/>
      <c r="E19" s="21"/>
      <c r="F19" s="21"/>
      <c r="G19" s="21"/>
      <c r="H19" s="21"/>
      <c r="I19" s="21"/>
      <c r="J19" s="21"/>
      <c r="K19" s="21"/>
      <c r="L19" s="80"/>
    </row>
    <row r="20" ht="13.5" customHeight="1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81"/>
    </row>
    <row r="21" ht="16.5" customHeight="1">
      <c r="B21" s="82"/>
      <c r="C21" s="83" t="s">
        <v>31</v>
      </c>
      <c r="D21" s="84"/>
      <c r="E21" s="85" t="s">
        <v>32</v>
      </c>
      <c r="F21" s="86" t="s">
        <v>33</v>
      </c>
      <c r="G21" s="87" t="s">
        <v>34</v>
      </c>
      <c r="H21" s="88" t="s">
        <v>35</v>
      </c>
      <c r="I21" s="88" t="s">
        <v>36</v>
      </c>
      <c r="J21" s="88" t="s">
        <v>37</v>
      </c>
      <c r="K21" s="88" t="s">
        <v>38</v>
      </c>
      <c r="L21" s="89" t="s">
        <v>39</v>
      </c>
    </row>
    <row r="22" ht="16.5" customHeight="1">
      <c r="B22" s="90"/>
      <c r="C22" s="91" t="s">
        <v>47</v>
      </c>
      <c r="D22" s="92"/>
      <c r="E22" s="93">
        <v>1.0</v>
      </c>
      <c r="F22" s="94">
        <v>2.0</v>
      </c>
      <c r="G22" s="95">
        <v>12.0</v>
      </c>
      <c r="H22" s="96"/>
      <c r="I22" s="94"/>
      <c r="J22" s="94"/>
      <c r="K22" s="97"/>
      <c r="L22" s="98"/>
      <c r="M22" s="75"/>
    </row>
    <row r="23" ht="16.5" customHeight="1">
      <c r="B23" s="99"/>
      <c r="C23" s="100" t="s">
        <v>48</v>
      </c>
      <c r="D23" s="101"/>
      <c r="E23" s="102">
        <v>2.0</v>
      </c>
      <c r="F23" s="103">
        <v>3.0</v>
      </c>
      <c r="G23" s="104">
        <v>12.0</v>
      </c>
      <c r="H23" s="105"/>
      <c r="I23" s="103"/>
      <c r="J23" s="103"/>
      <c r="K23" s="106"/>
      <c r="L23" s="107"/>
      <c r="M23" s="75"/>
    </row>
    <row r="24" ht="16.5" customHeight="1">
      <c r="B24" s="99"/>
      <c r="C24" s="100" t="s">
        <v>49</v>
      </c>
      <c r="D24" s="101"/>
      <c r="E24" s="102">
        <v>3.0</v>
      </c>
      <c r="F24" s="103">
        <v>3.0</v>
      </c>
      <c r="G24" s="104">
        <v>12.0</v>
      </c>
      <c r="H24" s="105"/>
      <c r="I24" s="103"/>
      <c r="J24" s="103"/>
      <c r="K24" s="103"/>
      <c r="L24" s="107"/>
      <c r="M24" s="75"/>
    </row>
    <row r="25" ht="16.5" customHeight="1">
      <c r="B25" s="108"/>
      <c r="C25" s="109"/>
      <c r="D25" s="101"/>
      <c r="E25" s="102">
        <v>4.0</v>
      </c>
      <c r="F25" s="103">
        <v>3.0</v>
      </c>
      <c r="G25" s="104">
        <v>12.0</v>
      </c>
      <c r="H25" s="105"/>
      <c r="I25" s="103"/>
      <c r="J25" s="103"/>
      <c r="K25" s="103"/>
      <c r="L25" s="107"/>
      <c r="M25" s="75"/>
    </row>
    <row r="26" ht="16.5" customHeight="1">
      <c r="B26" s="110"/>
      <c r="C26" s="111" t="str">
        <f>iferror(vlookup(LEFT(C22,LEN(C22)-2)&amp;"*",ExcerciseLookup,3,FALSE),"")</f>
        <v>Video Tutorial</v>
      </c>
      <c r="D26" s="112"/>
      <c r="E26" s="113">
        <v>5.0</v>
      </c>
      <c r="F26" s="114">
        <v>3.0</v>
      </c>
      <c r="G26" s="115">
        <v>12.0</v>
      </c>
      <c r="H26" s="116"/>
      <c r="I26" s="114"/>
      <c r="J26" s="114"/>
      <c r="K26" s="114"/>
      <c r="L26" s="117"/>
      <c r="M26" s="75"/>
    </row>
    <row r="27" ht="16.5" customHeight="1">
      <c r="B27" s="118"/>
      <c r="C27" s="119" t="s">
        <v>50</v>
      </c>
      <c r="D27" s="120"/>
      <c r="E27" s="121">
        <v>1.0</v>
      </c>
      <c r="F27" s="122">
        <v>2.0</v>
      </c>
      <c r="G27" s="123">
        <f t="shared" ref="G27:G31" si="1">IF(C$27="Bent-Over Barbell Row",15,12)</f>
        <v>12</v>
      </c>
      <c r="H27" s="124"/>
      <c r="I27" s="122"/>
      <c r="J27" s="122"/>
      <c r="K27" s="125"/>
      <c r="L27" s="126"/>
      <c r="M27" s="75"/>
    </row>
    <row r="28" ht="16.5" customHeight="1">
      <c r="B28" s="99"/>
      <c r="C28" s="100" t="s">
        <v>51</v>
      </c>
      <c r="D28" s="101"/>
      <c r="E28" s="102">
        <v>2.0</v>
      </c>
      <c r="F28" s="103">
        <v>3.0</v>
      </c>
      <c r="G28" s="104">
        <f t="shared" si="1"/>
        <v>12</v>
      </c>
      <c r="H28" s="105"/>
      <c r="I28" s="103"/>
      <c r="J28" s="103"/>
      <c r="K28" s="103"/>
      <c r="L28" s="107"/>
      <c r="M28" s="75"/>
    </row>
    <row r="29" ht="16.5" customHeight="1">
      <c r="B29" s="99"/>
      <c r="C29" s="100" t="s">
        <v>52</v>
      </c>
      <c r="D29" s="101"/>
      <c r="E29" s="102">
        <v>3.0</v>
      </c>
      <c r="F29" s="103">
        <v>3.0</v>
      </c>
      <c r="G29" s="104">
        <f t="shared" si="1"/>
        <v>12</v>
      </c>
      <c r="H29" s="105"/>
      <c r="I29" s="103"/>
      <c r="J29" s="103"/>
      <c r="K29" s="103"/>
      <c r="L29" s="107"/>
      <c r="M29" s="75"/>
    </row>
    <row r="30" ht="16.5" customHeight="1">
      <c r="B30" s="108"/>
      <c r="C30" s="100"/>
      <c r="D30" s="101"/>
      <c r="E30" s="102">
        <v>4.0</v>
      </c>
      <c r="F30" s="103">
        <v>3.0</v>
      </c>
      <c r="G30" s="104">
        <f t="shared" si="1"/>
        <v>12</v>
      </c>
      <c r="H30" s="105"/>
      <c r="I30" s="103"/>
      <c r="J30" s="103"/>
      <c r="K30" s="103"/>
      <c r="L30" s="107"/>
      <c r="M30" s="75"/>
    </row>
    <row r="31" ht="16.5" customHeight="1">
      <c r="B31" s="127"/>
      <c r="C31" s="111" t="str">
        <f>iferror(vlookup(LEFT(C27,LEN(C27)-2)&amp;"*",ExcerciseLookup,3,FALSE),"")</f>
        <v>Video Tutorial</v>
      </c>
      <c r="D31" s="112"/>
      <c r="E31" s="128">
        <v>5.0</v>
      </c>
      <c r="F31" s="129">
        <v>3.0</v>
      </c>
      <c r="G31" s="130">
        <f t="shared" si="1"/>
        <v>12</v>
      </c>
      <c r="H31" s="131"/>
      <c r="I31" s="129"/>
      <c r="J31" s="129"/>
      <c r="K31" s="129"/>
      <c r="L31" s="132"/>
      <c r="M31" s="75"/>
    </row>
    <row r="32" ht="13.5" customHeight="1">
      <c r="B32" s="133" t="s">
        <v>53</v>
      </c>
      <c r="L32" s="2"/>
    </row>
    <row r="33" ht="13.5" customHeight="1">
      <c r="B33" s="6"/>
      <c r="L33" s="2"/>
    </row>
    <row r="34" ht="16.5" customHeight="1">
      <c r="B34" s="82"/>
      <c r="C34" s="83" t="s">
        <v>31</v>
      </c>
      <c r="D34" s="84"/>
      <c r="E34" s="85" t="s">
        <v>32</v>
      </c>
      <c r="F34" s="86" t="s">
        <v>33</v>
      </c>
      <c r="G34" s="87" t="s">
        <v>34</v>
      </c>
      <c r="H34" s="88" t="s">
        <v>35</v>
      </c>
      <c r="I34" s="88" t="s">
        <v>36</v>
      </c>
      <c r="J34" s="88" t="s">
        <v>37</v>
      </c>
      <c r="K34" s="88" t="s">
        <v>38</v>
      </c>
      <c r="L34" s="89" t="s">
        <v>39</v>
      </c>
    </row>
    <row r="35" ht="16.5" customHeight="1">
      <c r="B35" s="90"/>
      <c r="C35" s="91" t="s">
        <v>54</v>
      </c>
      <c r="D35" s="92"/>
      <c r="E35" s="93">
        <v>1.0</v>
      </c>
      <c r="F35" s="94">
        <v>2.0</v>
      </c>
      <c r="G35" s="95">
        <v>15.0</v>
      </c>
      <c r="H35" s="96"/>
      <c r="I35" s="94"/>
      <c r="J35" s="94"/>
      <c r="K35" s="97"/>
      <c r="L35" s="98"/>
      <c r="M35" s="75"/>
    </row>
    <row r="36" ht="16.5" customHeight="1">
      <c r="B36" s="99"/>
      <c r="C36" s="100" t="s">
        <v>55</v>
      </c>
      <c r="D36" s="101"/>
      <c r="E36" s="102">
        <v>2.0</v>
      </c>
      <c r="F36" s="103">
        <v>3.0</v>
      </c>
      <c r="G36" s="104">
        <v>15.0</v>
      </c>
      <c r="H36" s="105"/>
      <c r="I36" s="103"/>
      <c r="J36" s="103"/>
      <c r="K36" s="106"/>
      <c r="L36" s="107"/>
      <c r="M36" s="75"/>
    </row>
    <row r="37" ht="16.5" customHeight="1">
      <c r="B37" s="99"/>
      <c r="C37" s="100" t="s">
        <v>56</v>
      </c>
      <c r="D37" s="101"/>
      <c r="E37" s="102">
        <v>3.0</v>
      </c>
      <c r="F37" s="103">
        <v>3.0</v>
      </c>
      <c r="G37" s="104">
        <v>15.0</v>
      </c>
      <c r="H37" s="105"/>
      <c r="I37" s="103"/>
      <c r="J37" s="103"/>
      <c r="K37" s="103"/>
      <c r="L37" s="107"/>
      <c r="M37" s="75"/>
    </row>
    <row r="38" ht="16.5" customHeight="1">
      <c r="B38" s="108"/>
      <c r="C38" s="109"/>
      <c r="D38" s="101"/>
      <c r="E38" s="102">
        <v>4.0</v>
      </c>
      <c r="F38" s="103">
        <v>3.0</v>
      </c>
      <c r="G38" s="104">
        <v>15.0</v>
      </c>
      <c r="H38" s="105"/>
      <c r="I38" s="103"/>
      <c r="J38" s="103"/>
      <c r="K38" s="103"/>
      <c r="L38" s="107"/>
      <c r="M38" s="75"/>
    </row>
    <row r="39" ht="16.5" customHeight="1">
      <c r="B39" s="110"/>
      <c r="C39" s="111" t="str">
        <f>iferror(vlookup(LEFT(C35,LEN(C35)-2)&amp;"*",ExcerciseLookup,3,FALSE),"")</f>
        <v>Video Tutorial</v>
      </c>
      <c r="D39" s="112"/>
      <c r="E39" s="113">
        <v>5.0</v>
      </c>
      <c r="F39" s="114">
        <v>3.0</v>
      </c>
      <c r="G39" s="115">
        <v>15.0</v>
      </c>
      <c r="H39" s="116"/>
      <c r="I39" s="114"/>
      <c r="J39" s="114"/>
      <c r="K39" s="114"/>
      <c r="L39" s="117"/>
      <c r="M39" s="75"/>
    </row>
    <row r="40" ht="16.5" customHeight="1">
      <c r="B40" s="118"/>
      <c r="C40" s="119" t="s">
        <v>57</v>
      </c>
      <c r="D40" s="120"/>
      <c r="E40" s="121">
        <v>1.0</v>
      </c>
      <c r="F40" s="122">
        <v>2.0</v>
      </c>
      <c r="G40" s="123" t="s">
        <v>58</v>
      </c>
      <c r="H40" s="124"/>
      <c r="I40" s="122"/>
      <c r="J40" s="122"/>
      <c r="K40" s="125"/>
      <c r="L40" s="126"/>
      <c r="M40" s="75"/>
    </row>
    <row r="41" ht="16.5" customHeight="1">
      <c r="B41" s="99"/>
      <c r="C41" s="100" t="s">
        <v>59</v>
      </c>
      <c r="D41" s="101"/>
      <c r="E41" s="102">
        <v>2.0</v>
      </c>
      <c r="F41" s="103">
        <v>2.0</v>
      </c>
      <c r="G41" s="104" t="s">
        <v>60</v>
      </c>
      <c r="H41" s="105"/>
      <c r="I41" s="103"/>
      <c r="J41" s="103"/>
      <c r="K41" s="103"/>
      <c r="L41" s="107"/>
      <c r="M41" s="75"/>
    </row>
    <row r="42" ht="16.5" customHeight="1">
      <c r="B42" s="99"/>
      <c r="C42" s="100" t="s">
        <v>61</v>
      </c>
      <c r="D42" s="101"/>
      <c r="E42" s="102">
        <v>3.0</v>
      </c>
      <c r="F42" s="103">
        <v>2.0</v>
      </c>
      <c r="G42" s="104" t="s">
        <v>62</v>
      </c>
      <c r="H42" s="105"/>
      <c r="I42" s="103"/>
      <c r="J42" s="103"/>
      <c r="K42" s="103"/>
      <c r="L42" s="107"/>
      <c r="M42" s="75"/>
    </row>
    <row r="43" ht="16.5" customHeight="1">
      <c r="B43" s="108"/>
      <c r="C43" s="100"/>
      <c r="D43" s="101"/>
      <c r="E43" s="102">
        <v>4.0</v>
      </c>
      <c r="F43" s="103">
        <v>2.0</v>
      </c>
      <c r="G43" s="104" t="s">
        <v>63</v>
      </c>
      <c r="H43" s="105"/>
      <c r="I43" s="103"/>
      <c r="J43" s="103"/>
      <c r="K43" s="103"/>
      <c r="L43" s="107"/>
      <c r="M43" s="75"/>
    </row>
    <row r="44" ht="16.5" customHeight="1">
      <c r="B44" s="127"/>
      <c r="C44" s="111" t="str">
        <f>iferror(vlookup(LEFT(C40,LEN(C40)-2)&amp;"*",ExcerciseLookup,3,FALSE),"")</f>
        <v>Video Tutorial</v>
      </c>
      <c r="D44" s="112"/>
      <c r="E44" s="128">
        <v>5.0</v>
      </c>
      <c r="F44" s="129">
        <v>2.0</v>
      </c>
      <c r="G44" s="130" t="s">
        <v>64</v>
      </c>
      <c r="H44" s="131"/>
      <c r="I44" s="129"/>
      <c r="J44" s="129"/>
      <c r="K44" s="129"/>
      <c r="L44" s="132"/>
      <c r="M44" s="75"/>
    </row>
    <row r="45" ht="16.5" customHeight="1">
      <c r="B45" s="118"/>
      <c r="C45" s="119" t="s">
        <v>65</v>
      </c>
      <c r="D45" s="120"/>
      <c r="E45" s="121">
        <v>1.0</v>
      </c>
      <c r="F45" s="122">
        <v>2.0</v>
      </c>
      <c r="G45" s="123" t="str">
        <f>IF(C$45="Pit Pulls","3×10 sec",15)</f>
        <v>3×10 sec</v>
      </c>
      <c r="H45" s="124"/>
      <c r="I45" s="122"/>
      <c r="J45" s="122"/>
      <c r="K45" s="125"/>
      <c r="L45" s="126"/>
      <c r="M45" s="75"/>
    </row>
    <row r="46" ht="16.5" customHeight="1">
      <c r="B46" s="99"/>
      <c r="C46" s="100" t="s">
        <v>66</v>
      </c>
      <c r="D46" s="101"/>
      <c r="E46" s="102">
        <v>2.0</v>
      </c>
      <c r="F46" s="103">
        <v>2.0</v>
      </c>
      <c r="G46" s="104" t="str">
        <f>IF(C$45="Pit Pulls","3×15 sec",15)</f>
        <v>3×15 sec</v>
      </c>
      <c r="H46" s="105"/>
      <c r="I46" s="103"/>
      <c r="J46" s="103"/>
      <c r="K46" s="103"/>
      <c r="L46" s="107"/>
      <c r="M46" s="75"/>
    </row>
    <row r="47" ht="16.5" customHeight="1">
      <c r="B47" s="99"/>
      <c r="C47" s="100" t="s">
        <v>67</v>
      </c>
      <c r="D47" s="101"/>
      <c r="E47" s="102">
        <v>3.0</v>
      </c>
      <c r="F47" s="103">
        <v>2.0</v>
      </c>
      <c r="G47" s="104" t="str">
        <f>IF(C$45="Pit Pulls","3×20 sec",15)</f>
        <v>3×20 sec</v>
      </c>
      <c r="H47" s="105"/>
      <c r="I47" s="103"/>
      <c r="J47" s="103"/>
      <c r="K47" s="103"/>
      <c r="L47" s="107"/>
      <c r="M47" s="75"/>
    </row>
    <row r="48" ht="16.5" customHeight="1">
      <c r="B48" s="108"/>
      <c r="C48" s="100"/>
      <c r="D48" s="101"/>
      <c r="E48" s="102">
        <v>4.0</v>
      </c>
      <c r="F48" s="103">
        <v>2.0</v>
      </c>
      <c r="G48" s="104" t="str">
        <f>IF(C$45="Pit Pulls","3×25 sec",15)</f>
        <v>3×25 sec</v>
      </c>
      <c r="H48" s="105"/>
      <c r="I48" s="103"/>
      <c r="J48" s="103"/>
      <c r="K48" s="103"/>
      <c r="L48" s="107"/>
      <c r="M48" s="75"/>
    </row>
    <row r="49" ht="16.5" customHeight="1">
      <c r="B49" s="127"/>
      <c r="C49" s="111" t="str">
        <f>iferror(vlookup(LEFT(C45,LEN(C45)-2)&amp;"*",ExcerciseLookup,3,FALSE),"")</f>
        <v>Video Tutorial</v>
      </c>
      <c r="D49" s="112"/>
      <c r="E49" s="128">
        <v>5.0</v>
      </c>
      <c r="F49" s="129">
        <v>2.0</v>
      </c>
      <c r="G49" s="130" t="str">
        <f>IF(C$45="Pit Pulls","3×30 sec",15)</f>
        <v>3×30 sec</v>
      </c>
      <c r="H49" s="131"/>
      <c r="I49" s="129"/>
      <c r="J49" s="129"/>
      <c r="K49" s="129"/>
      <c r="L49" s="132"/>
      <c r="M49" s="75"/>
    </row>
    <row r="50" ht="13.5" customHeight="1">
      <c r="B50" s="133" t="s">
        <v>68</v>
      </c>
      <c r="L50" s="2"/>
    </row>
    <row r="51" ht="13.5" customHeight="1">
      <c r="B51" s="6"/>
      <c r="L51" s="2"/>
    </row>
    <row r="52" ht="16.5" customHeight="1">
      <c r="B52" s="82"/>
      <c r="C52" s="83" t="s">
        <v>31</v>
      </c>
      <c r="D52" s="84"/>
      <c r="E52" s="85" t="s">
        <v>32</v>
      </c>
      <c r="F52" s="86" t="s">
        <v>33</v>
      </c>
      <c r="G52" s="87" t="s">
        <v>34</v>
      </c>
      <c r="H52" s="88" t="s">
        <v>35</v>
      </c>
      <c r="I52" s="88" t="s">
        <v>36</v>
      </c>
      <c r="J52" s="88" t="s">
        <v>37</v>
      </c>
      <c r="K52" s="88" t="s">
        <v>38</v>
      </c>
      <c r="L52" s="89" t="s">
        <v>39</v>
      </c>
    </row>
    <row r="53" ht="16.5" customHeight="1">
      <c r="B53" s="90"/>
      <c r="C53" s="91" t="s">
        <v>69</v>
      </c>
      <c r="D53" s="92"/>
      <c r="E53" s="93">
        <v>1.0</v>
      </c>
      <c r="F53" s="94">
        <v>2.0</v>
      </c>
      <c r="G53" s="95">
        <v>15.0</v>
      </c>
      <c r="H53" s="96"/>
      <c r="I53" s="94"/>
      <c r="J53" s="94"/>
      <c r="K53" s="97"/>
      <c r="L53" s="98"/>
      <c r="M53" s="75"/>
    </row>
    <row r="54" ht="16.5" customHeight="1">
      <c r="B54" s="99"/>
      <c r="C54" s="100" t="s">
        <v>70</v>
      </c>
      <c r="D54" s="101"/>
      <c r="E54" s="102">
        <v>2.0</v>
      </c>
      <c r="F54" s="103">
        <v>2.0</v>
      </c>
      <c r="G54" s="104">
        <v>15.0</v>
      </c>
      <c r="H54" s="105"/>
      <c r="I54" s="103"/>
      <c r="J54" s="103"/>
      <c r="K54" s="106"/>
      <c r="L54" s="107"/>
      <c r="M54" s="75"/>
    </row>
    <row r="55" ht="16.5" customHeight="1">
      <c r="B55" s="99"/>
      <c r="C55" s="100" t="s">
        <v>71</v>
      </c>
      <c r="D55" s="101"/>
      <c r="E55" s="102">
        <v>3.0</v>
      </c>
      <c r="F55" s="103">
        <v>2.0</v>
      </c>
      <c r="G55" s="104">
        <v>15.0</v>
      </c>
      <c r="H55" s="105"/>
      <c r="I55" s="103"/>
      <c r="J55" s="103"/>
      <c r="K55" s="103"/>
      <c r="L55" s="107"/>
      <c r="M55" s="75"/>
    </row>
    <row r="56" ht="16.5" customHeight="1">
      <c r="B56" s="108"/>
      <c r="C56" s="109"/>
      <c r="D56" s="101"/>
      <c r="E56" s="102">
        <v>4.0</v>
      </c>
      <c r="F56" s="103">
        <v>2.0</v>
      </c>
      <c r="G56" s="104">
        <v>15.0</v>
      </c>
      <c r="H56" s="105"/>
      <c r="I56" s="103"/>
      <c r="J56" s="103"/>
      <c r="K56" s="103"/>
      <c r="L56" s="107"/>
      <c r="M56" s="75"/>
    </row>
    <row r="57" ht="16.5" customHeight="1">
      <c r="B57" s="127"/>
      <c r="C57" s="111" t="str">
        <f>iferror(vlookup(LEFT(C53,LEN(C53)-2)&amp;"*",ExcerciseLookup,3,FALSE),"")</f>
        <v>Video Tutorial</v>
      </c>
      <c r="D57" s="112"/>
      <c r="E57" s="128">
        <v>5.0</v>
      </c>
      <c r="F57" s="129">
        <v>3.0</v>
      </c>
      <c r="G57" s="130">
        <v>15.0</v>
      </c>
      <c r="H57" s="131"/>
      <c r="I57" s="129"/>
      <c r="J57" s="129"/>
      <c r="K57" s="129"/>
      <c r="L57" s="132"/>
      <c r="M57" s="75"/>
    </row>
    <row r="58"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</row>
    <row r="59"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</row>
    <row r="60"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</row>
    <row r="61" ht="15.75" customHeight="1">
      <c r="B61" s="64"/>
      <c r="C61" s="65"/>
      <c r="D61" s="65"/>
      <c r="E61" s="65"/>
      <c r="F61" s="66"/>
      <c r="G61" s="66"/>
      <c r="H61" s="66"/>
      <c r="I61" s="66"/>
      <c r="J61" s="67"/>
      <c r="K61" s="67"/>
      <c r="L61" s="68"/>
    </row>
    <row r="62" ht="15.0" customHeight="1">
      <c r="B62" s="69"/>
      <c r="C62" s="8"/>
      <c r="F62" s="9" t="s">
        <v>25</v>
      </c>
      <c r="G62" s="9"/>
      <c r="H62" s="70"/>
      <c r="I62" s="71"/>
      <c r="J62" s="71"/>
      <c r="K62" s="11"/>
      <c r="L62" s="72"/>
    </row>
    <row r="63" ht="15.0" customHeight="1">
      <c r="B63" s="69"/>
      <c r="F63" s="13" t="s">
        <v>72</v>
      </c>
      <c r="G63" s="13"/>
      <c r="H63" s="73"/>
      <c r="I63" s="74"/>
      <c r="J63" s="74"/>
      <c r="K63" s="14"/>
      <c r="L63" s="72"/>
      <c r="M63" s="75"/>
    </row>
    <row r="64">
      <c r="B64" s="69"/>
      <c r="C64" s="7"/>
      <c r="D64" s="7"/>
      <c r="E64" s="7"/>
      <c r="F64" s="76"/>
      <c r="G64" s="76"/>
      <c r="H64" s="76"/>
      <c r="I64" s="76"/>
      <c r="J64" s="77"/>
      <c r="K64" s="77"/>
      <c r="L64" s="78"/>
      <c r="M64" s="79"/>
    </row>
    <row r="65" ht="13.5" customHeight="1">
      <c r="B65" s="20" t="s">
        <v>73</v>
      </c>
      <c r="C65" s="21"/>
      <c r="D65" s="21"/>
      <c r="E65" s="21"/>
      <c r="F65" s="21"/>
      <c r="G65" s="21"/>
      <c r="H65" s="21"/>
      <c r="I65" s="21"/>
      <c r="J65" s="21"/>
      <c r="K65" s="21"/>
      <c r="L65" s="80"/>
    </row>
    <row r="66" ht="13.5" customHeight="1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81"/>
    </row>
    <row r="67">
      <c r="B67" s="82"/>
      <c r="C67" s="83" t="s">
        <v>31</v>
      </c>
      <c r="D67" s="84"/>
      <c r="E67" s="85" t="s">
        <v>32</v>
      </c>
      <c r="F67" s="86" t="s">
        <v>33</v>
      </c>
      <c r="G67" s="87" t="s">
        <v>34</v>
      </c>
      <c r="H67" s="88" t="s">
        <v>35</v>
      </c>
      <c r="I67" s="88" t="s">
        <v>36</v>
      </c>
      <c r="J67" s="88" t="s">
        <v>37</v>
      </c>
      <c r="K67" s="88" t="s">
        <v>38</v>
      </c>
      <c r="L67" s="89" t="s">
        <v>39</v>
      </c>
    </row>
    <row r="68">
      <c r="B68" s="90"/>
      <c r="C68" s="91" t="s">
        <v>19</v>
      </c>
      <c r="D68" s="92"/>
      <c r="E68" s="93">
        <v>1.0</v>
      </c>
      <c r="F68" s="94">
        <v>2.0</v>
      </c>
      <c r="G68" s="95">
        <v>10.0</v>
      </c>
      <c r="H68" s="96"/>
      <c r="I68" s="94"/>
      <c r="J68" s="94"/>
      <c r="K68" s="97"/>
      <c r="L68" s="98"/>
    </row>
    <row r="69">
      <c r="B69" s="99"/>
      <c r="C69" s="100" t="s">
        <v>74</v>
      </c>
      <c r="D69" s="101"/>
      <c r="E69" s="102">
        <v>2.0</v>
      </c>
      <c r="F69" s="103">
        <v>3.0</v>
      </c>
      <c r="G69" s="104">
        <v>10.0</v>
      </c>
      <c r="H69" s="105"/>
      <c r="I69" s="103"/>
      <c r="J69" s="103"/>
      <c r="K69" s="106"/>
      <c r="L69" s="107"/>
    </row>
    <row r="70">
      <c r="B70" s="99"/>
      <c r="C70" s="100" t="s">
        <v>75</v>
      </c>
      <c r="D70" s="101"/>
      <c r="E70" s="102">
        <v>3.0</v>
      </c>
      <c r="F70" s="103">
        <v>3.0</v>
      </c>
      <c r="G70" s="104">
        <v>10.0</v>
      </c>
      <c r="H70" s="105"/>
      <c r="I70" s="103"/>
      <c r="J70" s="103"/>
      <c r="K70" s="103"/>
      <c r="L70" s="107"/>
      <c r="M70" s="75"/>
    </row>
    <row r="71">
      <c r="B71" s="108"/>
      <c r="C71" s="109"/>
      <c r="D71" s="101"/>
      <c r="E71" s="102">
        <v>4.0</v>
      </c>
      <c r="F71" s="103">
        <v>3.0</v>
      </c>
      <c r="G71" s="104">
        <v>10.0</v>
      </c>
      <c r="H71" s="105"/>
      <c r="I71" s="103"/>
      <c r="J71" s="103"/>
      <c r="K71" s="103"/>
      <c r="L71" s="107"/>
      <c r="M71" s="75"/>
    </row>
    <row r="72">
      <c r="B72" s="110"/>
      <c r="C72" s="111" t="str">
        <f>iferror(vlookup(LEFT(C68,LEN(C68)-2)&amp;"*",ExcerciseLookup,3,FALSE),"")</f>
        <v>Video Tutorial</v>
      </c>
      <c r="D72" s="112"/>
      <c r="E72" s="113">
        <v>5.0</v>
      </c>
      <c r="F72" s="114">
        <v>4.0</v>
      </c>
      <c r="G72" s="115">
        <v>10.0</v>
      </c>
      <c r="H72" s="116"/>
      <c r="I72" s="114"/>
      <c r="J72" s="114"/>
      <c r="K72" s="114"/>
      <c r="L72" s="117"/>
      <c r="M72" s="75"/>
    </row>
    <row r="73">
      <c r="B73" s="118"/>
      <c r="C73" s="119" t="s">
        <v>76</v>
      </c>
      <c r="D73" s="120"/>
      <c r="E73" s="121">
        <v>1.0</v>
      </c>
      <c r="F73" s="122">
        <v>3.0</v>
      </c>
      <c r="G73" s="123">
        <f t="shared" ref="G73:G77" si="2">IF(C$73="Bent-Over Barbell Row",15,12)</f>
        <v>12</v>
      </c>
      <c r="H73" s="124"/>
      <c r="I73" s="122"/>
      <c r="J73" s="122"/>
      <c r="K73" s="125"/>
      <c r="L73" s="126"/>
      <c r="M73" s="75"/>
    </row>
    <row r="74">
      <c r="B74" s="99"/>
      <c r="C74" s="100" t="s">
        <v>77</v>
      </c>
      <c r="D74" s="101"/>
      <c r="E74" s="102">
        <v>2.0</v>
      </c>
      <c r="F74" s="103">
        <v>4.0</v>
      </c>
      <c r="G74" s="104">
        <f t="shared" si="2"/>
        <v>12</v>
      </c>
      <c r="H74" s="105"/>
      <c r="I74" s="103"/>
      <c r="J74" s="103"/>
      <c r="K74" s="103"/>
      <c r="L74" s="107"/>
      <c r="M74" s="75"/>
    </row>
    <row r="75">
      <c r="B75" s="99"/>
      <c r="C75" s="100" t="s">
        <v>78</v>
      </c>
      <c r="D75" s="101"/>
      <c r="E75" s="102">
        <v>3.0</v>
      </c>
      <c r="F75" s="103">
        <v>4.0</v>
      </c>
      <c r="G75" s="104">
        <f t="shared" si="2"/>
        <v>12</v>
      </c>
      <c r="H75" s="105"/>
      <c r="I75" s="103"/>
      <c r="J75" s="103"/>
      <c r="K75" s="103"/>
      <c r="L75" s="107"/>
    </row>
    <row r="76">
      <c r="B76" s="108"/>
      <c r="C76" s="100"/>
      <c r="D76" s="101"/>
      <c r="E76" s="102">
        <v>4.0</v>
      </c>
      <c r="F76" s="103">
        <v>4.0</v>
      </c>
      <c r="G76" s="104">
        <f t="shared" si="2"/>
        <v>12</v>
      </c>
      <c r="H76" s="105"/>
      <c r="I76" s="103"/>
      <c r="J76" s="103"/>
      <c r="K76" s="103"/>
      <c r="L76" s="107"/>
    </row>
    <row r="77">
      <c r="B77" s="127"/>
      <c r="C77" s="111" t="str">
        <f>iferror(vlookup(LEFT(C73,LEN(C73)-2)&amp;"*",ExcerciseLookup,3,FALSE),"")</f>
        <v>Video Tutorial</v>
      </c>
      <c r="D77" s="112"/>
      <c r="E77" s="128">
        <v>5.0</v>
      </c>
      <c r="F77" s="129">
        <v>5.0</v>
      </c>
      <c r="G77" s="130">
        <f t="shared" si="2"/>
        <v>12</v>
      </c>
      <c r="H77" s="131"/>
      <c r="I77" s="129"/>
      <c r="J77" s="129"/>
      <c r="K77" s="129"/>
      <c r="L77" s="132"/>
    </row>
    <row r="78">
      <c r="B78" s="20" t="s">
        <v>79</v>
      </c>
      <c r="C78" s="21"/>
      <c r="D78" s="21"/>
      <c r="E78" s="21"/>
      <c r="F78" s="21"/>
      <c r="G78" s="21"/>
      <c r="H78" s="21"/>
      <c r="I78" s="21"/>
      <c r="J78" s="21"/>
      <c r="K78" s="21"/>
      <c r="L78" s="80"/>
    </row>
    <row r="79" ht="13.5" customHeight="1"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81"/>
    </row>
    <row r="80">
      <c r="B80" s="82"/>
      <c r="C80" s="83" t="s">
        <v>31</v>
      </c>
      <c r="D80" s="84"/>
      <c r="E80" s="85" t="s">
        <v>32</v>
      </c>
      <c r="F80" s="86" t="s">
        <v>33</v>
      </c>
      <c r="G80" s="87" t="s">
        <v>34</v>
      </c>
      <c r="H80" s="88" t="s">
        <v>35</v>
      </c>
      <c r="I80" s="88" t="s">
        <v>36</v>
      </c>
      <c r="J80" s="88" t="s">
        <v>37</v>
      </c>
      <c r="K80" s="88" t="s">
        <v>38</v>
      </c>
      <c r="L80" s="89" t="s">
        <v>39</v>
      </c>
    </row>
    <row r="81">
      <c r="B81" s="90"/>
      <c r="C81" s="91" t="s">
        <v>80</v>
      </c>
      <c r="D81" s="92"/>
      <c r="E81" s="93">
        <v>1.0</v>
      </c>
      <c r="F81" s="94">
        <v>2.0</v>
      </c>
      <c r="G81" s="95">
        <v>12.0</v>
      </c>
      <c r="H81" s="96"/>
      <c r="I81" s="94"/>
      <c r="J81" s="94"/>
      <c r="K81" s="97"/>
      <c r="L81" s="98"/>
    </row>
    <row r="82">
      <c r="B82" s="99"/>
      <c r="C82" s="100" t="s">
        <v>81</v>
      </c>
      <c r="D82" s="101"/>
      <c r="E82" s="102">
        <v>2.0</v>
      </c>
      <c r="F82" s="103">
        <v>3.0</v>
      </c>
      <c r="G82" s="104">
        <v>12.0</v>
      </c>
      <c r="H82" s="105"/>
      <c r="I82" s="103"/>
      <c r="J82" s="103"/>
      <c r="K82" s="106"/>
      <c r="L82" s="107"/>
    </row>
    <row r="83">
      <c r="B83" s="99"/>
      <c r="C83" s="100" t="s">
        <v>82</v>
      </c>
      <c r="D83" s="101"/>
      <c r="E83" s="102">
        <v>3.0</v>
      </c>
      <c r="F83" s="103">
        <v>3.0</v>
      </c>
      <c r="G83" s="104">
        <v>12.0</v>
      </c>
      <c r="H83" s="105"/>
      <c r="I83" s="103"/>
      <c r="J83" s="103"/>
      <c r="K83" s="103"/>
      <c r="L83" s="107"/>
    </row>
    <row r="84">
      <c r="B84" s="108"/>
      <c r="C84" s="109"/>
      <c r="D84" s="101"/>
      <c r="E84" s="102">
        <v>4.0</v>
      </c>
      <c r="F84" s="103">
        <v>3.0</v>
      </c>
      <c r="G84" s="104">
        <v>12.0</v>
      </c>
      <c r="H84" s="105"/>
      <c r="I84" s="103"/>
      <c r="J84" s="103"/>
      <c r="K84" s="103"/>
      <c r="L84" s="107"/>
    </row>
    <row r="85">
      <c r="B85" s="110"/>
      <c r="C85" s="111" t="str">
        <f>iferror(vlookup(LEFT(C81,LEN(C81)-2)&amp;"*",ExcerciseLookup,3,FALSE),"")</f>
        <v>Video Tutorial</v>
      </c>
      <c r="D85" s="112"/>
      <c r="E85" s="113">
        <v>5.0</v>
      </c>
      <c r="F85" s="114">
        <v>3.0</v>
      </c>
      <c r="G85" s="115">
        <v>12.0</v>
      </c>
      <c r="H85" s="116"/>
      <c r="I85" s="114"/>
      <c r="J85" s="114"/>
      <c r="K85" s="114"/>
      <c r="L85" s="117"/>
    </row>
    <row r="86">
      <c r="B86" s="118"/>
      <c r="C86" s="119" t="s">
        <v>83</v>
      </c>
      <c r="D86" s="120"/>
      <c r="E86" s="121">
        <v>1.0</v>
      </c>
      <c r="F86" s="122">
        <v>2.0</v>
      </c>
      <c r="G86" s="123" t="s">
        <v>84</v>
      </c>
      <c r="H86" s="124"/>
      <c r="I86" s="122"/>
      <c r="J86" s="122"/>
      <c r="K86" s="125"/>
      <c r="L86" s="126"/>
    </row>
    <row r="87">
      <c r="B87" s="99"/>
      <c r="C87" s="100" t="s">
        <v>85</v>
      </c>
      <c r="D87" s="101"/>
      <c r="E87" s="102">
        <v>2.0</v>
      </c>
      <c r="F87" s="103">
        <v>2.0</v>
      </c>
      <c r="G87" s="104" t="s">
        <v>84</v>
      </c>
      <c r="H87" s="105"/>
      <c r="I87" s="103"/>
      <c r="J87" s="103"/>
      <c r="K87" s="103"/>
      <c r="L87" s="107"/>
    </row>
    <row r="88">
      <c r="B88" s="99"/>
      <c r="C88" s="100" t="s">
        <v>86</v>
      </c>
      <c r="D88" s="101"/>
      <c r="E88" s="102">
        <v>3.0</v>
      </c>
      <c r="F88" s="103">
        <v>2.0</v>
      </c>
      <c r="G88" s="104" t="s">
        <v>84</v>
      </c>
      <c r="H88" s="105"/>
      <c r="I88" s="103"/>
      <c r="J88" s="103"/>
      <c r="K88" s="103"/>
      <c r="L88" s="107"/>
    </row>
    <row r="89">
      <c r="B89" s="108"/>
      <c r="C89" s="100"/>
      <c r="D89" s="101"/>
      <c r="E89" s="102">
        <v>4.0</v>
      </c>
      <c r="F89" s="103">
        <v>2.0</v>
      </c>
      <c r="G89" s="104" t="s">
        <v>84</v>
      </c>
      <c r="H89" s="105"/>
      <c r="I89" s="103"/>
      <c r="J89" s="103"/>
      <c r="K89" s="103"/>
      <c r="L89" s="107"/>
    </row>
    <row r="90">
      <c r="B90" s="127"/>
      <c r="C90" s="111" t="str">
        <f>iferror(vlookup(LEFT(C86,LEN(C86)-2)&amp;"*",ExcerciseLookup,3,FALSE),"")</f>
        <v>Video Tutorial</v>
      </c>
      <c r="D90" s="112"/>
      <c r="E90" s="128">
        <v>5.0</v>
      </c>
      <c r="F90" s="129">
        <v>2.0</v>
      </c>
      <c r="G90" s="130" t="s">
        <v>84</v>
      </c>
      <c r="H90" s="131"/>
      <c r="I90" s="129"/>
      <c r="J90" s="129"/>
      <c r="K90" s="129"/>
      <c r="L90" s="132"/>
    </row>
    <row r="91" ht="13.5" customHeight="1">
      <c r="B91" s="20" t="s">
        <v>87</v>
      </c>
      <c r="C91" s="21"/>
      <c r="D91" s="21"/>
      <c r="E91" s="21"/>
      <c r="F91" s="21"/>
      <c r="G91" s="21"/>
      <c r="H91" s="21"/>
      <c r="I91" s="21"/>
      <c r="J91" s="21"/>
      <c r="K91" s="21"/>
      <c r="L91" s="80"/>
    </row>
    <row r="92" ht="13.5" customHeight="1"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81"/>
    </row>
    <row r="93">
      <c r="B93" s="82"/>
      <c r="C93" s="83" t="s">
        <v>31</v>
      </c>
      <c r="D93" s="84"/>
      <c r="E93" s="85" t="s">
        <v>32</v>
      </c>
      <c r="F93" s="86" t="s">
        <v>33</v>
      </c>
      <c r="G93" s="87" t="s">
        <v>34</v>
      </c>
      <c r="H93" s="88" t="s">
        <v>35</v>
      </c>
      <c r="I93" s="88" t="s">
        <v>36</v>
      </c>
      <c r="J93" s="88" t="s">
        <v>37</v>
      </c>
      <c r="K93" s="88" t="s">
        <v>38</v>
      </c>
      <c r="L93" s="89" t="s">
        <v>39</v>
      </c>
    </row>
    <row r="94">
      <c r="B94" s="90"/>
      <c r="C94" s="91" t="s">
        <v>88</v>
      </c>
      <c r="D94" s="92"/>
      <c r="E94" s="93">
        <v>1.0</v>
      </c>
      <c r="F94" s="94">
        <v>2.0</v>
      </c>
      <c r="G94" s="95" t="s">
        <v>58</v>
      </c>
      <c r="H94" s="96"/>
      <c r="I94" s="94"/>
      <c r="J94" s="94"/>
      <c r="K94" s="97"/>
      <c r="L94" s="98"/>
    </row>
    <row r="95">
      <c r="B95" s="99"/>
      <c r="C95" s="100" t="s">
        <v>89</v>
      </c>
      <c r="D95" s="101"/>
      <c r="E95" s="102">
        <v>2.0</v>
      </c>
      <c r="F95" s="103">
        <v>2.0</v>
      </c>
      <c r="G95" s="104" t="s">
        <v>60</v>
      </c>
      <c r="H95" s="105"/>
      <c r="I95" s="103"/>
      <c r="J95" s="103"/>
      <c r="K95" s="106"/>
      <c r="L95" s="107"/>
    </row>
    <row r="96">
      <c r="B96" s="99"/>
      <c r="C96" s="100" t="s">
        <v>61</v>
      </c>
      <c r="D96" s="101"/>
      <c r="E96" s="102">
        <v>3.0</v>
      </c>
      <c r="F96" s="103">
        <v>2.0</v>
      </c>
      <c r="G96" s="104" t="s">
        <v>62</v>
      </c>
      <c r="H96" s="105"/>
      <c r="I96" s="103"/>
      <c r="J96" s="103"/>
      <c r="K96" s="103"/>
      <c r="L96" s="107"/>
    </row>
    <row r="97">
      <c r="B97" s="108"/>
      <c r="C97" s="109"/>
      <c r="D97" s="101"/>
      <c r="E97" s="102">
        <v>4.0</v>
      </c>
      <c r="F97" s="103">
        <v>2.0</v>
      </c>
      <c r="G97" s="104" t="s">
        <v>63</v>
      </c>
      <c r="H97" s="105"/>
      <c r="I97" s="103"/>
      <c r="J97" s="103"/>
      <c r="K97" s="103"/>
      <c r="L97" s="107"/>
    </row>
    <row r="98">
      <c r="B98" s="110"/>
      <c r="C98" s="111" t="str">
        <f>iferror(vlookup(LEFT(C94,LEN(C94)-2)&amp;"*",ExcerciseLookup,3,FALSE),"")</f>
        <v>Video Tutorial</v>
      </c>
      <c r="D98" s="112"/>
      <c r="E98" s="113">
        <v>5.0</v>
      </c>
      <c r="F98" s="114">
        <v>2.0</v>
      </c>
      <c r="G98" s="115" t="s">
        <v>64</v>
      </c>
      <c r="H98" s="116"/>
      <c r="I98" s="114"/>
      <c r="J98" s="114"/>
      <c r="K98" s="114"/>
      <c r="L98" s="117"/>
    </row>
    <row r="99">
      <c r="B99" s="118"/>
      <c r="C99" s="119" t="s">
        <v>90</v>
      </c>
      <c r="D99" s="120"/>
      <c r="E99" s="121">
        <v>1.0</v>
      </c>
      <c r="F99" s="122">
        <v>2.0</v>
      </c>
      <c r="G99" s="123">
        <v>12.0</v>
      </c>
      <c r="H99" s="124"/>
      <c r="I99" s="122"/>
      <c r="J99" s="122"/>
      <c r="K99" s="125"/>
      <c r="L99" s="126"/>
    </row>
    <row r="100">
      <c r="B100" s="99"/>
      <c r="C100" s="100" t="s">
        <v>91</v>
      </c>
      <c r="D100" s="101"/>
      <c r="E100" s="102">
        <v>2.0</v>
      </c>
      <c r="F100" s="103">
        <v>3.0</v>
      </c>
      <c r="G100" s="104">
        <v>12.0</v>
      </c>
      <c r="H100" s="105"/>
      <c r="I100" s="103"/>
      <c r="J100" s="103"/>
      <c r="K100" s="103"/>
      <c r="L100" s="107"/>
    </row>
    <row r="101">
      <c r="B101" s="99"/>
      <c r="C101" s="100" t="s">
        <v>92</v>
      </c>
      <c r="D101" s="101"/>
      <c r="E101" s="102">
        <v>3.0</v>
      </c>
      <c r="F101" s="103">
        <v>3.0</v>
      </c>
      <c r="G101" s="104">
        <v>12.0</v>
      </c>
      <c r="H101" s="105"/>
      <c r="I101" s="103"/>
      <c r="J101" s="103"/>
      <c r="K101" s="103"/>
      <c r="L101" s="107"/>
    </row>
    <row r="102">
      <c r="B102" s="108"/>
      <c r="C102" s="100"/>
      <c r="D102" s="101"/>
      <c r="E102" s="102">
        <v>4.0</v>
      </c>
      <c r="F102" s="103">
        <v>3.0</v>
      </c>
      <c r="G102" s="104">
        <v>12.0</v>
      </c>
      <c r="H102" s="105"/>
      <c r="I102" s="103"/>
      <c r="J102" s="103"/>
      <c r="K102" s="103"/>
      <c r="L102" s="107"/>
    </row>
    <row r="103">
      <c r="B103" s="127"/>
      <c r="C103" s="111" t="str">
        <f>iferror(vlookup(LEFT(C99,LEN(C99)-2)&amp;"*",ExcerciseLookup,3,FALSE),"")</f>
        <v>Video Tutorial</v>
      </c>
      <c r="D103" s="112"/>
      <c r="E103" s="128">
        <v>5.0</v>
      </c>
      <c r="F103" s="129">
        <v>3.0</v>
      </c>
      <c r="G103" s="130">
        <v>12.0</v>
      </c>
      <c r="H103" s="131"/>
      <c r="I103" s="129"/>
      <c r="J103" s="129"/>
      <c r="K103" s="129"/>
      <c r="L103" s="132"/>
    </row>
    <row r="104">
      <c r="B104" s="118"/>
      <c r="C104" s="119" t="s">
        <v>93</v>
      </c>
      <c r="D104" s="120"/>
      <c r="E104" s="121">
        <v>1.0</v>
      </c>
      <c r="F104" s="122">
        <v>3.0</v>
      </c>
      <c r="G104" s="123">
        <v>15.0</v>
      </c>
      <c r="H104" s="124"/>
      <c r="I104" s="122"/>
      <c r="J104" s="122"/>
      <c r="K104" s="125"/>
      <c r="L104" s="126"/>
    </row>
    <row r="105">
      <c r="B105" s="99"/>
      <c r="C105" s="100" t="s">
        <v>94</v>
      </c>
      <c r="D105" s="101"/>
      <c r="E105" s="102">
        <v>2.0</v>
      </c>
      <c r="F105" s="103">
        <v>4.0</v>
      </c>
      <c r="G105" s="104">
        <v>15.0</v>
      </c>
      <c r="H105" s="105"/>
      <c r="I105" s="103"/>
      <c r="J105" s="103"/>
      <c r="K105" s="103"/>
      <c r="L105" s="107"/>
    </row>
    <row r="106">
      <c r="B106" s="99"/>
      <c r="C106" s="100" t="s">
        <v>95</v>
      </c>
      <c r="D106" s="101"/>
      <c r="E106" s="102">
        <v>3.0</v>
      </c>
      <c r="F106" s="103">
        <v>4.0</v>
      </c>
      <c r="G106" s="104">
        <v>15.0</v>
      </c>
      <c r="H106" s="105"/>
      <c r="I106" s="103"/>
      <c r="J106" s="103"/>
      <c r="K106" s="103"/>
      <c r="L106" s="107"/>
    </row>
    <row r="107">
      <c r="B107" s="108"/>
      <c r="C107" s="100" t="s">
        <v>96</v>
      </c>
      <c r="D107" s="101"/>
      <c r="E107" s="102">
        <v>4.0</v>
      </c>
      <c r="F107" s="103">
        <v>4.0</v>
      </c>
      <c r="G107" s="104">
        <v>15.0</v>
      </c>
      <c r="H107" s="105"/>
      <c r="I107" s="103"/>
      <c r="J107" s="103"/>
      <c r="K107" s="103"/>
      <c r="L107" s="107"/>
    </row>
    <row r="108">
      <c r="B108" s="127"/>
      <c r="C108" s="111" t="str">
        <f>iferror(vlookup(LEFT(C104,LEN(C104)-2)&amp;"*",ExcerciseLookup,3,FALSE),"")</f>
        <v>Video Tutorial</v>
      </c>
      <c r="D108" s="112"/>
      <c r="E108" s="128">
        <v>5.0</v>
      </c>
      <c r="F108" s="129">
        <v>4.0</v>
      </c>
      <c r="G108" s="130">
        <v>15.0</v>
      </c>
      <c r="H108" s="131"/>
      <c r="I108" s="129"/>
      <c r="J108" s="129"/>
      <c r="K108" s="129"/>
      <c r="L108" s="132"/>
    </row>
    <row r="109"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</row>
    <row r="110"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</row>
    <row r="112" ht="15.75" customHeight="1">
      <c r="B112" s="64"/>
      <c r="C112" s="65"/>
      <c r="D112" s="65"/>
      <c r="E112" s="65"/>
      <c r="F112" s="66"/>
      <c r="G112" s="66"/>
      <c r="H112" s="66"/>
      <c r="I112" s="66"/>
      <c r="J112" s="67"/>
      <c r="K112" s="67"/>
      <c r="L112" s="68"/>
    </row>
    <row r="113" ht="15.0" customHeight="1">
      <c r="B113" s="69"/>
      <c r="C113" s="8"/>
      <c r="F113" s="9" t="s">
        <v>25</v>
      </c>
      <c r="G113" s="9"/>
      <c r="H113" s="70"/>
      <c r="I113" s="71"/>
      <c r="J113" s="71"/>
      <c r="K113" s="11"/>
      <c r="L113" s="72"/>
    </row>
    <row r="114" ht="15.0" customHeight="1">
      <c r="B114" s="69"/>
      <c r="F114" s="13" t="s">
        <v>97</v>
      </c>
      <c r="G114" s="13"/>
      <c r="H114" s="73"/>
      <c r="I114" s="74"/>
      <c r="J114" s="74"/>
      <c r="K114" s="14"/>
      <c r="L114" s="72"/>
      <c r="M114" s="75"/>
    </row>
    <row r="115">
      <c r="B115" s="69"/>
      <c r="C115" s="7"/>
      <c r="D115" s="7"/>
      <c r="E115" s="7"/>
      <c r="F115" s="76"/>
      <c r="G115" s="76"/>
      <c r="H115" s="76"/>
      <c r="I115" s="76"/>
      <c r="J115" s="77"/>
      <c r="K115" s="77"/>
      <c r="L115" s="78"/>
      <c r="M115" s="79"/>
    </row>
    <row r="116" ht="13.5" customHeight="1">
      <c r="B116" s="20" t="s">
        <v>98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80"/>
    </row>
    <row r="117" ht="13.5" customHeight="1"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81"/>
    </row>
    <row r="118">
      <c r="B118" s="82"/>
      <c r="C118" s="83" t="s">
        <v>31</v>
      </c>
      <c r="D118" s="84"/>
      <c r="E118" s="85" t="s">
        <v>32</v>
      </c>
      <c r="F118" s="86" t="s">
        <v>33</v>
      </c>
      <c r="G118" s="87" t="s">
        <v>34</v>
      </c>
      <c r="H118" s="88" t="s">
        <v>35</v>
      </c>
      <c r="I118" s="88" t="s">
        <v>36</v>
      </c>
      <c r="J118" s="88" t="s">
        <v>37</v>
      </c>
      <c r="K118" s="88" t="s">
        <v>38</v>
      </c>
      <c r="L118" s="89" t="s">
        <v>39</v>
      </c>
    </row>
    <row r="119">
      <c r="B119" s="90"/>
      <c r="C119" s="91" t="s">
        <v>19</v>
      </c>
      <c r="D119" s="92"/>
      <c r="E119" s="93">
        <v>1.0</v>
      </c>
      <c r="F119" s="94">
        <v>2.0</v>
      </c>
      <c r="G119" s="95">
        <v>10.0</v>
      </c>
      <c r="H119" s="96"/>
      <c r="I119" s="94"/>
      <c r="J119" s="94"/>
      <c r="K119" s="97"/>
      <c r="L119" s="98"/>
    </row>
    <row r="120">
      <c r="B120" s="99"/>
      <c r="C120" s="100" t="s">
        <v>99</v>
      </c>
      <c r="D120" s="101"/>
      <c r="E120" s="102">
        <v>2.0</v>
      </c>
      <c r="F120" s="103">
        <v>3.0</v>
      </c>
      <c r="G120" s="104">
        <v>10.0</v>
      </c>
      <c r="H120" s="105"/>
      <c r="I120" s="103"/>
      <c r="J120" s="103"/>
      <c r="K120" s="106"/>
      <c r="L120" s="107"/>
    </row>
    <row r="121">
      <c r="B121" s="99"/>
      <c r="C121" s="100" t="s">
        <v>100</v>
      </c>
      <c r="D121" s="101"/>
      <c r="E121" s="102">
        <v>3.0</v>
      </c>
      <c r="F121" s="103">
        <v>3.0</v>
      </c>
      <c r="G121" s="104">
        <v>10.0</v>
      </c>
      <c r="H121" s="105"/>
      <c r="I121" s="103"/>
      <c r="J121" s="103"/>
      <c r="K121" s="103"/>
      <c r="L121" s="107"/>
      <c r="M121" s="75"/>
    </row>
    <row r="122">
      <c r="B122" s="108"/>
      <c r="C122" s="109"/>
      <c r="D122" s="101"/>
      <c r="E122" s="102">
        <v>4.0</v>
      </c>
      <c r="F122" s="103">
        <v>3.0</v>
      </c>
      <c r="G122" s="104">
        <v>10.0</v>
      </c>
      <c r="H122" s="105"/>
      <c r="I122" s="103"/>
      <c r="J122" s="103"/>
      <c r="K122" s="103"/>
      <c r="L122" s="107"/>
      <c r="M122" s="75"/>
    </row>
    <row r="123">
      <c r="B123" s="110"/>
      <c r="C123" s="111" t="str">
        <f>iferror(vlookup(LEFT(C119,LEN(C119)-2)&amp;"*",ExcerciseLookup,3,FALSE),"")</f>
        <v>Video Tutorial</v>
      </c>
      <c r="D123" s="112"/>
      <c r="E123" s="113">
        <v>5.0</v>
      </c>
      <c r="F123" s="114">
        <v>4.0</v>
      </c>
      <c r="G123" s="115">
        <v>10.0</v>
      </c>
      <c r="H123" s="116"/>
      <c r="I123" s="114"/>
      <c r="J123" s="114"/>
      <c r="K123" s="114"/>
      <c r="L123" s="117"/>
      <c r="M123" s="75"/>
    </row>
    <row r="124">
      <c r="B124" s="118"/>
      <c r="C124" s="119" t="s">
        <v>76</v>
      </c>
      <c r="D124" s="120"/>
      <c r="E124" s="121">
        <v>1.0</v>
      </c>
      <c r="F124" s="122">
        <v>3.0</v>
      </c>
      <c r="G124" s="123">
        <f t="shared" ref="G124:G128" si="3">IF(C$124="Bent-Over Barbell Row",15,12)</f>
        <v>12</v>
      </c>
      <c r="H124" s="124"/>
      <c r="I124" s="122"/>
      <c r="J124" s="122"/>
      <c r="K124" s="125"/>
      <c r="L124" s="126"/>
      <c r="M124" s="75"/>
    </row>
    <row r="125">
      <c r="B125" s="99"/>
      <c r="C125" s="100" t="s">
        <v>101</v>
      </c>
      <c r="D125" s="101"/>
      <c r="E125" s="102">
        <v>2.0</v>
      </c>
      <c r="F125" s="103">
        <v>3.0</v>
      </c>
      <c r="G125" s="104">
        <f t="shared" si="3"/>
        <v>12</v>
      </c>
      <c r="H125" s="105"/>
      <c r="I125" s="103"/>
      <c r="J125" s="103"/>
      <c r="K125" s="103"/>
      <c r="L125" s="107"/>
      <c r="M125" s="75"/>
    </row>
    <row r="126">
      <c r="B126" s="99"/>
      <c r="C126" s="100" t="s">
        <v>102</v>
      </c>
      <c r="D126" s="101"/>
      <c r="E126" s="102">
        <v>3.0</v>
      </c>
      <c r="F126" s="103">
        <v>3.0</v>
      </c>
      <c r="G126" s="104">
        <f t="shared" si="3"/>
        <v>12</v>
      </c>
      <c r="H126" s="105"/>
      <c r="I126" s="103"/>
      <c r="J126" s="103"/>
      <c r="K126" s="103"/>
      <c r="L126" s="107"/>
    </row>
    <row r="127">
      <c r="B127" s="108"/>
      <c r="C127" s="100"/>
      <c r="D127" s="101"/>
      <c r="E127" s="102">
        <v>4.0</v>
      </c>
      <c r="F127" s="103">
        <v>3.0</v>
      </c>
      <c r="G127" s="104">
        <f t="shared" si="3"/>
        <v>12</v>
      </c>
      <c r="H127" s="105"/>
      <c r="I127" s="103"/>
      <c r="J127" s="103"/>
      <c r="K127" s="103"/>
      <c r="L127" s="107"/>
    </row>
    <row r="128">
      <c r="B128" s="127"/>
      <c r="C128" s="111" t="str">
        <f>iferror(vlookup(LEFT(C124,LEN(C124)-2)&amp;"*",ExcerciseLookup,3,FALSE),"")</f>
        <v>Video Tutorial</v>
      </c>
      <c r="D128" s="112"/>
      <c r="E128" s="128">
        <v>5.0</v>
      </c>
      <c r="F128" s="129">
        <v>4.0</v>
      </c>
      <c r="G128" s="130">
        <f t="shared" si="3"/>
        <v>12</v>
      </c>
      <c r="H128" s="131"/>
      <c r="I128" s="129"/>
      <c r="J128" s="129"/>
      <c r="K128" s="129"/>
      <c r="L128" s="132"/>
    </row>
    <row r="129" ht="13.5" customHeight="1">
      <c r="B129" s="20" t="s">
        <v>103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80"/>
    </row>
    <row r="130" ht="13.5" customHeight="1"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81"/>
    </row>
    <row r="131">
      <c r="B131" s="82"/>
      <c r="C131" s="83" t="s">
        <v>31</v>
      </c>
      <c r="D131" s="84"/>
      <c r="E131" s="85" t="s">
        <v>32</v>
      </c>
      <c r="F131" s="86" t="s">
        <v>33</v>
      </c>
      <c r="G131" s="87" t="s">
        <v>34</v>
      </c>
      <c r="H131" s="88" t="s">
        <v>35</v>
      </c>
      <c r="I131" s="88" t="s">
        <v>36</v>
      </c>
      <c r="J131" s="88" t="s">
        <v>37</v>
      </c>
      <c r="K131" s="88" t="s">
        <v>38</v>
      </c>
      <c r="L131" s="89" t="s">
        <v>39</v>
      </c>
    </row>
    <row r="132">
      <c r="B132" s="90"/>
      <c r="C132" s="91" t="s">
        <v>104</v>
      </c>
      <c r="D132" s="92"/>
      <c r="E132" s="93">
        <v>1.0</v>
      </c>
      <c r="F132" s="94">
        <v>3.0</v>
      </c>
      <c r="G132" s="95">
        <v>12.0</v>
      </c>
      <c r="H132" s="96"/>
      <c r="I132" s="94"/>
      <c r="J132" s="94"/>
      <c r="K132" s="97"/>
      <c r="L132" s="98"/>
    </row>
    <row r="133">
      <c r="B133" s="99"/>
      <c r="C133" s="100" t="s">
        <v>105</v>
      </c>
      <c r="D133" s="101"/>
      <c r="E133" s="102">
        <v>2.0</v>
      </c>
      <c r="F133" s="103">
        <v>3.0</v>
      </c>
      <c r="G133" s="104">
        <v>12.0</v>
      </c>
      <c r="H133" s="105"/>
      <c r="I133" s="103"/>
      <c r="J133" s="103"/>
      <c r="K133" s="106"/>
      <c r="L133" s="107"/>
    </row>
    <row r="134">
      <c r="B134" s="99"/>
      <c r="C134" s="100" t="s">
        <v>106</v>
      </c>
      <c r="D134" s="101"/>
      <c r="E134" s="102">
        <v>3.0</v>
      </c>
      <c r="F134" s="103">
        <v>3.0</v>
      </c>
      <c r="G134" s="104">
        <v>12.0</v>
      </c>
      <c r="H134" s="105"/>
      <c r="I134" s="103"/>
      <c r="J134" s="103"/>
      <c r="K134" s="103"/>
      <c r="L134" s="107"/>
    </row>
    <row r="135">
      <c r="B135" s="108"/>
      <c r="C135" s="109"/>
      <c r="D135" s="101"/>
      <c r="E135" s="102">
        <v>4.0</v>
      </c>
      <c r="F135" s="103">
        <v>3.0</v>
      </c>
      <c r="G135" s="104">
        <v>12.0</v>
      </c>
      <c r="H135" s="105"/>
      <c r="I135" s="103"/>
      <c r="J135" s="103"/>
      <c r="K135" s="103"/>
      <c r="L135" s="107"/>
    </row>
    <row r="136">
      <c r="B136" s="110"/>
      <c r="C136" s="135" t="str">
        <f>iferror(vlookup(LEFT(C132,LEN(C132)-2)&amp;"*",ExcerciseLookup,3,FALSE),"")</f>
        <v/>
      </c>
      <c r="D136" s="112"/>
      <c r="E136" s="113">
        <v>5.0</v>
      </c>
      <c r="F136" s="114">
        <v>3.0</v>
      </c>
      <c r="G136" s="115">
        <v>12.0</v>
      </c>
      <c r="H136" s="116"/>
      <c r="I136" s="114"/>
      <c r="J136" s="114"/>
      <c r="K136" s="114"/>
      <c r="L136" s="117"/>
    </row>
    <row r="137">
      <c r="B137" s="118"/>
      <c r="C137" s="119" t="s">
        <v>107</v>
      </c>
      <c r="D137" s="120"/>
      <c r="E137" s="121">
        <v>1.0</v>
      </c>
      <c r="F137" s="122">
        <v>2.0</v>
      </c>
      <c r="G137" s="123" t="s">
        <v>84</v>
      </c>
      <c r="H137" s="124"/>
      <c r="I137" s="122"/>
      <c r="J137" s="122"/>
      <c r="K137" s="125"/>
      <c r="L137" s="126"/>
    </row>
    <row r="138">
      <c r="B138" s="99"/>
      <c r="C138" s="100" t="s">
        <v>108</v>
      </c>
      <c r="D138" s="101"/>
      <c r="E138" s="102">
        <v>2.0</v>
      </c>
      <c r="F138" s="103">
        <v>2.0</v>
      </c>
      <c r="G138" s="104" t="s">
        <v>84</v>
      </c>
      <c r="H138" s="105"/>
      <c r="I138" s="103"/>
      <c r="J138" s="103"/>
      <c r="K138" s="103"/>
      <c r="L138" s="107"/>
    </row>
    <row r="139">
      <c r="B139" s="99"/>
      <c r="C139" s="100" t="s">
        <v>109</v>
      </c>
      <c r="D139" s="101"/>
      <c r="E139" s="102">
        <v>3.0</v>
      </c>
      <c r="F139" s="103">
        <v>2.0</v>
      </c>
      <c r="G139" s="104" t="s">
        <v>84</v>
      </c>
      <c r="H139" s="105"/>
      <c r="I139" s="103"/>
      <c r="J139" s="103"/>
      <c r="K139" s="103"/>
      <c r="L139" s="107"/>
    </row>
    <row r="140">
      <c r="B140" s="108"/>
      <c r="C140" s="100"/>
      <c r="D140" s="101"/>
      <c r="E140" s="102">
        <v>4.0</v>
      </c>
      <c r="F140" s="103">
        <v>2.0</v>
      </c>
      <c r="G140" s="104" t="s">
        <v>84</v>
      </c>
      <c r="H140" s="105"/>
      <c r="I140" s="103"/>
      <c r="J140" s="103"/>
      <c r="K140" s="103"/>
      <c r="L140" s="107"/>
    </row>
    <row r="141">
      <c r="B141" s="127"/>
      <c r="C141" s="111" t="str">
        <f>iferror(vlookup(LEFT(C137,LEN(C137)-2)&amp;"*",ExcerciseLookup,3,FALSE),"")</f>
        <v>Video Tutorial</v>
      </c>
      <c r="D141" s="112"/>
      <c r="E141" s="128">
        <v>5.0</v>
      </c>
      <c r="F141" s="129">
        <v>2.0</v>
      </c>
      <c r="G141" s="130" t="s">
        <v>84</v>
      </c>
      <c r="H141" s="131"/>
      <c r="I141" s="129"/>
      <c r="J141" s="129"/>
      <c r="K141" s="129"/>
      <c r="L141" s="132"/>
    </row>
    <row r="142" ht="13.5" customHeight="1">
      <c r="B142" s="20" t="s">
        <v>110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80"/>
    </row>
    <row r="143" ht="13.5" customHeight="1"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81"/>
    </row>
    <row r="144">
      <c r="B144" s="82"/>
      <c r="C144" s="83" t="s">
        <v>31</v>
      </c>
      <c r="D144" s="84"/>
      <c r="E144" s="85" t="s">
        <v>32</v>
      </c>
      <c r="F144" s="86" t="s">
        <v>33</v>
      </c>
      <c r="G144" s="87" t="s">
        <v>34</v>
      </c>
      <c r="H144" s="88" t="s">
        <v>35</v>
      </c>
      <c r="I144" s="88" t="s">
        <v>36</v>
      </c>
      <c r="J144" s="88" t="s">
        <v>37</v>
      </c>
      <c r="K144" s="88" t="s">
        <v>38</v>
      </c>
      <c r="L144" s="89" t="s">
        <v>39</v>
      </c>
    </row>
    <row r="145">
      <c r="B145" s="90"/>
      <c r="C145" s="91" t="s">
        <v>111</v>
      </c>
      <c r="D145" s="92"/>
      <c r="E145" s="93">
        <v>1.0</v>
      </c>
      <c r="F145" s="94">
        <v>2.0</v>
      </c>
      <c r="G145" s="95" t="str">
        <f t="shared" ref="G145:G149" si="4">IF(C$145="Dumbbell Farmer Carry","40 Steps","18")</f>
        <v>40 Steps</v>
      </c>
      <c r="H145" s="96"/>
      <c r="I145" s="94"/>
      <c r="J145" s="94"/>
      <c r="K145" s="97"/>
      <c r="L145" s="98"/>
    </row>
    <row r="146">
      <c r="B146" s="99"/>
      <c r="C146" s="100" t="s">
        <v>112</v>
      </c>
      <c r="D146" s="101"/>
      <c r="E146" s="102">
        <v>2.0</v>
      </c>
      <c r="F146" s="103">
        <v>3.0</v>
      </c>
      <c r="G146" s="104" t="str">
        <f t="shared" si="4"/>
        <v>40 Steps</v>
      </c>
      <c r="H146" s="105"/>
      <c r="I146" s="103"/>
      <c r="J146" s="103"/>
      <c r="K146" s="106"/>
      <c r="L146" s="107"/>
    </row>
    <row r="147">
      <c r="B147" s="99"/>
      <c r="C147" s="100" t="s">
        <v>113</v>
      </c>
      <c r="D147" s="101"/>
      <c r="E147" s="102">
        <v>3.0</v>
      </c>
      <c r="F147" s="103">
        <v>3.0</v>
      </c>
      <c r="G147" s="104" t="str">
        <f t="shared" si="4"/>
        <v>40 Steps</v>
      </c>
      <c r="H147" s="105"/>
      <c r="I147" s="103"/>
      <c r="J147" s="103"/>
      <c r="K147" s="103"/>
      <c r="L147" s="107"/>
    </row>
    <row r="148">
      <c r="B148" s="108"/>
      <c r="C148" s="109"/>
      <c r="D148" s="101"/>
      <c r="E148" s="102">
        <v>4.0</v>
      </c>
      <c r="F148" s="103">
        <v>3.0</v>
      </c>
      <c r="G148" s="104" t="str">
        <f t="shared" si="4"/>
        <v>40 Steps</v>
      </c>
      <c r="H148" s="105"/>
      <c r="I148" s="103"/>
      <c r="J148" s="103"/>
      <c r="K148" s="103"/>
      <c r="L148" s="107"/>
    </row>
    <row r="149">
      <c r="B149" s="110"/>
      <c r="C149" s="111" t="str">
        <f>iferror(vlookup(LEFT(C145,LEN(C145)-2)&amp;"*",ExcerciseLookup,3,FALSE),"")</f>
        <v>Video Tutorial</v>
      </c>
      <c r="D149" s="112"/>
      <c r="E149" s="113">
        <v>5.0</v>
      </c>
      <c r="F149" s="114">
        <v>3.0</v>
      </c>
      <c r="G149" s="115" t="str">
        <f t="shared" si="4"/>
        <v>40 Steps</v>
      </c>
      <c r="H149" s="116"/>
      <c r="I149" s="114"/>
      <c r="J149" s="114"/>
      <c r="K149" s="114"/>
      <c r="L149" s="117"/>
    </row>
    <row r="150">
      <c r="B150" s="118"/>
      <c r="C150" s="119" t="s">
        <v>114</v>
      </c>
      <c r="D150" s="120"/>
      <c r="E150" s="121">
        <v>1.0</v>
      </c>
      <c r="F150" s="122">
        <v>2.0</v>
      </c>
      <c r="G150" s="123" t="str">
        <f t="shared" ref="G150:G154" si="5">IF(C$150="TYIs on Incline Bench","6/Letter","18")</f>
        <v>6/Letter</v>
      </c>
      <c r="H150" s="124"/>
      <c r="I150" s="122"/>
      <c r="J150" s="122"/>
      <c r="K150" s="125"/>
      <c r="L150" s="126"/>
    </row>
    <row r="151">
      <c r="B151" s="99"/>
      <c r="C151" s="100" t="s">
        <v>115</v>
      </c>
      <c r="D151" s="101"/>
      <c r="E151" s="102">
        <v>2.0</v>
      </c>
      <c r="F151" s="103">
        <v>2.0</v>
      </c>
      <c r="G151" s="104" t="str">
        <f t="shared" si="5"/>
        <v>6/Letter</v>
      </c>
      <c r="H151" s="105"/>
      <c r="I151" s="103"/>
      <c r="J151" s="103"/>
      <c r="K151" s="103"/>
      <c r="L151" s="107"/>
    </row>
    <row r="152">
      <c r="B152" s="99"/>
      <c r="C152" s="100" t="s">
        <v>116</v>
      </c>
      <c r="D152" s="101"/>
      <c r="E152" s="102">
        <v>3.0</v>
      </c>
      <c r="F152" s="103">
        <v>2.0</v>
      </c>
      <c r="G152" s="104" t="str">
        <f t="shared" si="5"/>
        <v>6/Letter</v>
      </c>
      <c r="H152" s="105"/>
      <c r="I152" s="103"/>
      <c r="J152" s="103"/>
      <c r="K152" s="103"/>
      <c r="L152" s="107"/>
    </row>
    <row r="153">
      <c r="B153" s="108"/>
      <c r="C153" s="100" t="s">
        <v>117</v>
      </c>
      <c r="D153" s="101"/>
      <c r="E153" s="102">
        <v>4.0</v>
      </c>
      <c r="F153" s="103">
        <v>2.0</v>
      </c>
      <c r="G153" s="104" t="str">
        <f t="shared" si="5"/>
        <v>6/Letter</v>
      </c>
      <c r="H153" s="105"/>
      <c r="I153" s="103"/>
      <c r="J153" s="103"/>
      <c r="K153" s="103"/>
      <c r="L153" s="107"/>
    </row>
    <row r="154">
      <c r="B154" s="127"/>
      <c r="C154" s="111" t="str">
        <f>iferror(vlookup(LEFT(C150,LEN(C150)-2)&amp;"*",ExcerciseLookup,3,FALSE),"")</f>
        <v>Video Tutorial</v>
      </c>
      <c r="D154" s="112"/>
      <c r="E154" s="128">
        <v>5.0</v>
      </c>
      <c r="F154" s="129">
        <v>2.0</v>
      </c>
      <c r="G154" s="130" t="str">
        <f t="shared" si="5"/>
        <v>6/Letter</v>
      </c>
      <c r="H154" s="131"/>
      <c r="I154" s="129"/>
      <c r="J154" s="129"/>
      <c r="K154" s="129"/>
      <c r="L154" s="132"/>
    </row>
    <row r="155">
      <c r="B155" s="118"/>
      <c r="C155" s="119" t="s">
        <v>57</v>
      </c>
      <c r="D155" s="120"/>
      <c r="E155" s="121">
        <v>1.0</v>
      </c>
      <c r="F155" s="122">
        <v>2.0</v>
      </c>
      <c r="G155" s="123" t="s">
        <v>58</v>
      </c>
      <c r="H155" s="124"/>
      <c r="I155" s="122"/>
      <c r="J155" s="122"/>
      <c r="K155" s="125"/>
      <c r="L155" s="126"/>
    </row>
    <row r="156">
      <c r="B156" s="99"/>
      <c r="C156" s="100" t="s">
        <v>118</v>
      </c>
      <c r="D156" s="101"/>
      <c r="E156" s="102">
        <v>2.0</v>
      </c>
      <c r="F156" s="103">
        <v>2.0</v>
      </c>
      <c r="G156" s="104" t="s">
        <v>60</v>
      </c>
      <c r="H156" s="105"/>
      <c r="I156" s="103"/>
      <c r="J156" s="103"/>
      <c r="K156" s="103"/>
      <c r="L156" s="107"/>
    </row>
    <row r="157">
      <c r="B157" s="99"/>
      <c r="C157" s="100" t="s">
        <v>61</v>
      </c>
      <c r="D157" s="101"/>
      <c r="E157" s="102">
        <v>3.0</v>
      </c>
      <c r="F157" s="103">
        <v>2.0</v>
      </c>
      <c r="G157" s="104" t="s">
        <v>62</v>
      </c>
      <c r="H157" s="105"/>
      <c r="I157" s="103"/>
      <c r="J157" s="103"/>
      <c r="K157" s="103"/>
      <c r="L157" s="107"/>
    </row>
    <row r="158">
      <c r="B158" s="108"/>
      <c r="C158" s="100"/>
      <c r="D158" s="101"/>
      <c r="E158" s="102">
        <v>4.0</v>
      </c>
      <c r="F158" s="103">
        <v>2.0</v>
      </c>
      <c r="G158" s="104" t="s">
        <v>63</v>
      </c>
      <c r="H158" s="105"/>
      <c r="I158" s="103"/>
      <c r="J158" s="103"/>
      <c r="K158" s="103"/>
      <c r="L158" s="107"/>
    </row>
    <row r="159">
      <c r="B159" s="127"/>
      <c r="C159" s="111" t="str">
        <f>iferror(vlookup(LEFT(C155,LEN(C155)-2)&amp;"*",ExcerciseLookup,3,FALSE),"")</f>
        <v>Video Tutorial</v>
      </c>
      <c r="D159" s="112"/>
      <c r="E159" s="128">
        <v>5.0</v>
      </c>
      <c r="F159" s="129">
        <v>2.0</v>
      </c>
      <c r="G159" s="130" t="s">
        <v>64</v>
      </c>
      <c r="H159" s="131"/>
      <c r="I159" s="129"/>
      <c r="J159" s="129"/>
      <c r="K159" s="129"/>
      <c r="L159" s="132"/>
    </row>
    <row r="160" ht="13.5" customHeight="1">
      <c r="B160" s="133" t="s">
        <v>119</v>
      </c>
      <c r="L160" s="2"/>
    </row>
    <row r="161" ht="13.5" customHeight="1">
      <c r="B161" s="6"/>
      <c r="L161" s="2"/>
    </row>
    <row r="162" ht="16.5" customHeight="1">
      <c r="B162" s="82"/>
      <c r="C162" s="83" t="s">
        <v>31</v>
      </c>
      <c r="D162" s="84"/>
      <c r="E162" s="85" t="s">
        <v>32</v>
      </c>
      <c r="F162" s="86" t="s">
        <v>33</v>
      </c>
      <c r="G162" s="87" t="s">
        <v>34</v>
      </c>
      <c r="H162" s="88" t="s">
        <v>35</v>
      </c>
      <c r="I162" s="88" t="s">
        <v>36</v>
      </c>
      <c r="J162" s="88" t="s">
        <v>37</v>
      </c>
      <c r="K162" s="88" t="s">
        <v>38</v>
      </c>
      <c r="L162" s="89" t="s">
        <v>39</v>
      </c>
    </row>
    <row r="163" ht="16.5" customHeight="1">
      <c r="B163" s="90"/>
      <c r="C163" s="91" t="s">
        <v>120</v>
      </c>
      <c r="D163" s="92"/>
      <c r="E163" s="93">
        <v>1.0</v>
      </c>
      <c r="F163" s="94">
        <v>3.0</v>
      </c>
      <c r="G163" s="95">
        <v>15.0</v>
      </c>
      <c r="H163" s="96"/>
      <c r="I163" s="94"/>
      <c r="J163" s="94"/>
      <c r="K163" s="97"/>
      <c r="L163" s="98"/>
      <c r="M163" s="75"/>
    </row>
    <row r="164" ht="16.5" customHeight="1">
      <c r="B164" s="99"/>
      <c r="C164" s="100" t="s">
        <v>121</v>
      </c>
      <c r="D164" s="101"/>
      <c r="E164" s="102">
        <v>2.0</v>
      </c>
      <c r="F164" s="103">
        <v>3.0</v>
      </c>
      <c r="G164" s="104">
        <v>15.0</v>
      </c>
      <c r="H164" s="105"/>
      <c r="I164" s="103"/>
      <c r="J164" s="103"/>
      <c r="K164" s="106"/>
      <c r="L164" s="107"/>
      <c r="M164" s="75"/>
    </row>
    <row r="165" ht="16.5" customHeight="1">
      <c r="B165" s="99"/>
      <c r="C165" s="100" t="s">
        <v>122</v>
      </c>
      <c r="D165" s="101"/>
      <c r="E165" s="102">
        <v>3.0</v>
      </c>
      <c r="F165" s="103">
        <v>3.0</v>
      </c>
      <c r="G165" s="104">
        <v>15.0</v>
      </c>
      <c r="H165" s="105"/>
      <c r="I165" s="103"/>
      <c r="J165" s="103"/>
      <c r="K165" s="103"/>
      <c r="L165" s="107"/>
      <c r="M165" s="75"/>
    </row>
    <row r="166" ht="16.5" customHeight="1">
      <c r="B166" s="108"/>
      <c r="C166" s="109"/>
      <c r="D166" s="101"/>
      <c r="E166" s="102">
        <v>4.0</v>
      </c>
      <c r="F166" s="103">
        <v>3.0</v>
      </c>
      <c r="G166" s="104">
        <v>15.0</v>
      </c>
      <c r="H166" s="105"/>
      <c r="I166" s="103"/>
      <c r="J166" s="103"/>
      <c r="K166" s="103"/>
      <c r="L166" s="107"/>
      <c r="M166" s="75"/>
    </row>
    <row r="167" ht="16.5" customHeight="1">
      <c r="B167" s="127"/>
      <c r="C167" s="111" t="str">
        <f>iferror(vlookup(LEFT(C163,LEN(C163)-2)&amp;"*",ExcerciseLookup,3,FALSE),"")</f>
        <v>Video Tutorial</v>
      </c>
      <c r="D167" s="112"/>
      <c r="E167" s="128">
        <v>5.0</v>
      </c>
      <c r="F167" s="129">
        <v>4.0</v>
      </c>
      <c r="G167" s="130">
        <v>15.0</v>
      </c>
      <c r="H167" s="131"/>
      <c r="I167" s="129"/>
      <c r="J167" s="129"/>
      <c r="K167" s="129"/>
      <c r="L167" s="132"/>
      <c r="M167" s="75"/>
    </row>
    <row r="168"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</row>
    <row r="169"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</row>
  </sheetData>
  <mergeCells count="140">
    <mergeCell ref="C3:E4"/>
    <mergeCell ref="B6:L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L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2:L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L51"/>
    <mergeCell ref="C49:D49"/>
    <mergeCell ref="C52:D52"/>
    <mergeCell ref="C53:D53"/>
    <mergeCell ref="C54:D54"/>
    <mergeCell ref="C55:D55"/>
    <mergeCell ref="C56:D56"/>
    <mergeCell ref="C57:D57"/>
    <mergeCell ref="C113:E114"/>
    <mergeCell ref="B116:L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B129:L130"/>
    <mergeCell ref="C138:D138"/>
    <mergeCell ref="C139:D139"/>
    <mergeCell ref="C140:D140"/>
    <mergeCell ref="C141:D141"/>
    <mergeCell ref="B142:L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9:D159"/>
    <mergeCell ref="C162:D162"/>
    <mergeCell ref="C163:D163"/>
    <mergeCell ref="C164:D164"/>
    <mergeCell ref="C165:D165"/>
    <mergeCell ref="C166:D166"/>
    <mergeCell ref="C167:D167"/>
    <mergeCell ref="C153:D153"/>
    <mergeCell ref="C154:D154"/>
    <mergeCell ref="C155:D155"/>
    <mergeCell ref="C156:D156"/>
    <mergeCell ref="C157:D157"/>
    <mergeCell ref="C158:D158"/>
    <mergeCell ref="B160:L161"/>
    <mergeCell ref="C62:E63"/>
    <mergeCell ref="B65:L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B78:L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1:L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31:D131"/>
    <mergeCell ref="C132:D132"/>
    <mergeCell ref="C133:D133"/>
    <mergeCell ref="C134:D134"/>
    <mergeCell ref="C135:D135"/>
    <mergeCell ref="C136:D136"/>
    <mergeCell ref="C137:D137"/>
  </mergeCells>
  <conditionalFormatting sqref="F10:F13 F15:F18 F23:F26 F28:F31 F36:F49 G40:G41 G45:G49 F52:F57 F69:F77 F81:F90 F93:F108 E94:E98 G94:G100 E104:E108 G104:I108 J104 J108:K108 F120:F128 F132:F141 F144:F159 E145:E149 G145:G159 E155:E159 H155:I159 J159 E162:J167 K167">
    <cfRule type="cellIs" dxfId="0" priority="1" operator="equal">
      <formula>"Pending"</formula>
    </cfRule>
  </conditionalFormatting>
  <conditionalFormatting sqref="H9:L18 H22:L31 H35:L49 H53:L57 H68:L77 H81:L90 H94:L108 H119:L128 H132:L141 H145:L159 H163:L167">
    <cfRule type="expression" dxfId="1" priority="2">
      <formula>if(right(H$8,1)*1&gt;$F9*1,true)</formula>
    </cfRule>
  </conditionalFormatting>
  <conditionalFormatting sqref="I4">
    <cfRule type="containsText" dxfId="2" priority="3" operator="containsText" text="INPUT HERE">
      <formula>NOT(ISERROR(SEARCH(("INPUT HERE"),(I4))))</formula>
    </cfRule>
  </conditionalFormatting>
  <dataValidations>
    <dataValidation type="list" allowBlank="1" sqref="C53">
      <formula1>"Overhead Tricep Extensions,Cable Pushdowns,Barbell Skull Crushers"</formula1>
    </dataValidation>
    <dataValidation type="list" allowBlank="1" sqref="C132">
      <formula1>"Seated Cable Row,Dumbbell Pullover,Barbell Pullover"</formula1>
    </dataValidation>
    <dataValidation type="list" allowBlank="1" sqref="C27">
      <formula1>"1-Arm Dumbbell Row,Bent-Over Barbell Row,T-Bar Machine Row"</formula1>
    </dataValidation>
    <dataValidation type="list" allowBlank="1" sqref="C9">
      <formula1>"Dumbbell Sumo Deadlift,Dumbbell Romanian Deadlift,Barbell Romanian Deadlift"</formula1>
    </dataValidation>
    <dataValidation type="list" allowBlank="1" sqref="C73 C124">
      <formula1>"Underhand Lat Pulldowns,1-Arm Dumbbell Rows,Bent-Over Barbell Row"</formula1>
    </dataValidation>
    <dataValidation type="list" allowBlank="1" sqref="C81">
      <formula1>"Dumbbell Romanian Deadlift,Barbell Romanian Deadlift"</formula1>
    </dataValidation>
    <dataValidation type="list" allowBlank="1" sqref="C86">
      <formula1>"Bodyweight Split Squat,Dumbbell Split Squat,Barbell Split Squat"</formula1>
    </dataValidation>
    <dataValidation type="list" allowBlank="1" sqref="C22">
      <formula1>"Dumbbell Bench Press,Barbell Bench Press,Machine Chest Press"</formula1>
    </dataValidation>
    <dataValidation type="list" allowBlank="1" sqref="C163">
      <formula1>"Dumbbell Biceps Curls,Barbell Biceps Curls,Machine Biceps Curls"</formula1>
    </dataValidation>
    <dataValidation type="list" allowBlank="1" sqref="C68 C119">
      <formula1>"Goblet Squat,Barbell Front Squat,Barbell Back Squat"</formula1>
    </dataValidation>
    <dataValidation type="list" allowBlank="1" sqref="C145">
      <formula1>"Dumbbell Farmer Carry,Barbell Shrug"</formula1>
    </dataValidation>
    <dataValidation type="list" allowBlank="1" sqref="C150">
      <formula1>"TYIs on Incline Bench,Bent-Over Reverse Fly"</formula1>
    </dataValidation>
    <dataValidation type="list" allowBlank="1" sqref="C137">
      <formula1>"Dumbbell Step-Up,Bodyweight Step-Up,Barbell Split Squat"</formula1>
    </dataValidation>
    <dataValidation type="list" allowBlank="1" sqref="C45">
      <formula1>"Pit Pulls,Dumbbell Reverse Fly,Weight Plate Reverse Fly,Machine Reverse Fly"</formula1>
    </dataValidation>
    <dataValidation type="list" allowBlank="1" sqref="C99">
      <formula1>"Dumbbell Pullovers,Barbell Pullovers"</formula1>
    </dataValidation>
    <dataValidation type="list" allowBlank="1" sqref="C35">
      <formula1>"Dumbbell Chest Fly,Weight Plate Fly,Machine Fly/Pec Deck,Barbell Biceps Curl"</formula1>
    </dataValidation>
    <dataValidation type="list" allowBlank="1" sqref="C14">
      <formula1>"Push-Ups,Raised Push-Ups,Knee Push-Ups"</formula1>
    </dataValidation>
  </dataValidations>
  <hyperlinks>
    <hyperlink r:id="rId1" ref="K3"/>
    <hyperlink r:id="rId2" ref="K4"/>
  </hyperlinks>
  <printOptions gridLines="1" horizontalCentered="1"/>
  <pageMargins bottom="0.75" footer="0.0" header="0.0" left="0.25" right="0.25" top="0.75"/>
  <pageSetup cellComments="atEnd" orientation="portrait" pageOrder="overThenDown"/>
  <rowBreaks count="3" manualBreakCount="3">
    <brk man="1"/>
    <brk id="59" man="1"/>
    <brk id="110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3E3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15.75"/>
    <col customWidth="1" min="4" max="4" width="16.38"/>
    <col customWidth="1" min="5" max="13" width="9.5"/>
  </cols>
  <sheetData>
    <row r="1">
      <c r="A1" s="1"/>
    </row>
    <row r="2" ht="15.75" customHeight="1">
      <c r="B2" s="64"/>
      <c r="C2" s="65"/>
      <c r="D2" s="65"/>
      <c r="E2" s="65"/>
      <c r="F2" s="66"/>
      <c r="G2" s="66"/>
      <c r="H2" s="66"/>
      <c r="I2" s="66"/>
      <c r="J2" s="67"/>
      <c r="K2" s="67"/>
      <c r="L2" s="68"/>
    </row>
    <row r="3" ht="15.0" customHeight="1">
      <c r="B3" s="69"/>
      <c r="C3" s="8"/>
      <c r="F3" s="9" t="s">
        <v>123</v>
      </c>
      <c r="G3" s="9"/>
      <c r="H3" s="70" t="s">
        <v>26</v>
      </c>
      <c r="I3" s="71">
        <v>45658.0</v>
      </c>
      <c r="J3" s="71"/>
      <c r="K3" s="11" t="s">
        <v>1</v>
      </c>
      <c r="L3" s="72"/>
    </row>
    <row r="4" ht="15.0" customHeight="1">
      <c r="B4" s="69"/>
      <c r="F4" s="13" t="s">
        <v>27</v>
      </c>
      <c r="G4" s="13"/>
      <c r="H4" s="73" t="s">
        <v>28</v>
      </c>
      <c r="I4" s="74" t="s">
        <v>29</v>
      </c>
      <c r="J4" s="74"/>
      <c r="K4" s="14" t="s">
        <v>3</v>
      </c>
      <c r="L4" s="72"/>
      <c r="M4" s="75"/>
    </row>
    <row r="5">
      <c r="B5" s="69"/>
      <c r="C5" s="7"/>
      <c r="D5" s="7"/>
      <c r="E5" s="7"/>
      <c r="F5" s="76"/>
      <c r="G5" s="76"/>
      <c r="H5" s="76"/>
      <c r="I5" s="76"/>
      <c r="J5" s="77"/>
      <c r="K5" s="77"/>
      <c r="L5" s="78"/>
      <c r="M5" s="79"/>
    </row>
    <row r="6" ht="13.5" customHeight="1">
      <c r="B6" s="20" t="s">
        <v>124</v>
      </c>
      <c r="C6" s="21"/>
      <c r="D6" s="21"/>
      <c r="E6" s="21"/>
      <c r="F6" s="21"/>
      <c r="G6" s="21"/>
      <c r="H6" s="21"/>
      <c r="I6" s="21"/>
      <c r="J6" s="21"/>
      <c r="K6" s="21"/>
      <c r="L6" s="80"/>
    </row>
    <row r="7" ht="13.5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81"/>
    </row>
    <row r="8" ht="16.5" customHeight="1">
      <c r="B8" s="82"/>
      <c r="C8" s="83" t="s">
        <v>31</v>
      </c>
      <c r="D8" s="84"/>
      <c r="E8" s="85" t="s">
        <v>32</v>
      </c>
      <c r="F8" s="86" t="s">
        <v>33</v>
      </c>
      <c r="G8" s="87" t="s">
        <v>34</v>
      </c>
      <c r="H8" s="88" t="s">
        <v>35</v>
      </c>
      <c r="I8" s="88" t="s">
        <v>36</v>
      </c>
      <c r="J8" s="88" t="s">
        <v>37</v>
      </c>
      <c r="K8" s="88" t="s">
        <v>38</v>
      </c>
      <c r="L8" s="89" t="s">
        <v>39</v>
      </c>
    </row>
    <row r="9" ht="16.5" customHeight="1">
      <c r="B9" s="90"/>
      <c r="C9" s="91" t="s">
        <v>125</v>
      </c>
      <c r="D9" s="92"/>
      <c r="E9" s="93">
        <v>1.0</v>
      </c>
      <c r="F9" s="94">
        <v>3.0</v>
      </c>
      <c r="G9" s="95">
        <f t="shared" ref="G9:G13" si="1">IF(C$9="Below-the-Knee Rack Pull",5,10)</f>
        <v>10</v>
      </c>
      <c r="H9" s="96"/>
      <c r="I9" s="94"/>
      <c r="J9" s="94"/>
      <c r="K9" s="97"/>
      <c r="L9" s="98"/>
      <c r="M9" s="75"/>
    </row>
    <row r="10" ht="16.5" customHeight="1">
      <c r="B10" s="99"/>
      <c r="C10" s="100" t="s">
        <v>126</v>
      </c>
      <c r="D10" s="101"/>
      <c r="E10" s="102">
        <v>2.0</v>
      </c>
      <c r="F10" s="103">
        <v>4.0</v>
      </c>
      <c r="G10" s="104">
        <f t="shared" si="1"/>
        <v>10</v>
      </c>
      <c r="H10" s="105"/>
      <c r="I10" s="103"/>
      <c r="J10" s="103"/>
      <c r="K10" s="106"/>
      <c r="L10" s="107"/>
      <c r="M10" s="75"/>
    </row>
    <row r="11" ht="16.5" customHeight="1">
      <c r="B11" s="99"/>
      <c r="C11" s="100" t="s">
        <v>127</v>
      </c>
      <c r="D11" s="101"/>
      <c r="E11" s="102">
        <v>3.0</v>
      </c>
      <c r="F11" s="103">
        <v>4.0</v>
      </c>
      <c r="G11" s="104">
        <f t="shared" si="1"/>
        <v>10</v>
      </c>
      <c r="H11" s="105"/>
      <c r="I11" s="103"/>
      <c r="J11" s="103"/>
      <c r="K11" s="103"/>
      <c r="L11" s="107"/>
      <c r="M11" s="75"/>
    </row>
    <row r="12" ht="16.5" customHeight="1">
      <c r="B12" s="108"/>
      <c r="C12" s="109"/>
      <c r="D12" s="101"/>
      <c r="E12" s="102">
        <v>4.0</v>
      </c>
      <c r="F12" s="103">
        <v>4.0</v>
      </c>
      <c r="G12" s="104">
        <f t="shared" si="1"/>
        <v>10</v>
      </c>
      <c r="H12" s="105"/>
      <c r="I12" s="103"/>
      <c r="J12" s="103"/>
      <c r="K12" s="103"/>
      <c r="L12" s="107"/>
      <c r="M12" s="75"/>
    </row>
    <row r="13" ht="16.5" customHeight="1">
      <c r="B13" s="127"/>
      <c r="C13" s="111" t="str">
        <f>iferror(vlookup(LEFT(C9,LEN(C9)-2)&amp;"*",ExcerciseLookup,3,FALSE),"")</f>
        <v>Video Tutorial</v>
      </c>
      <c r="D13" s="112"/>
      <c r="E13" s="128">
        <v>5.0</v>
      </c>
      <c r="F13" s="129">
        <v>4.0</v>
      </c>
      <c r="G13" s="130">
        <f t="shared" si="1"/>
        <v>10</v>
      </c>
      <c r="H13" s="131"/>
      <c r="I13" s="129"/>
      <c r="J13" s="129"/>
      <c r="K13" s="129"/>
      <c r="L13" s="132"/>
      <c r="M13" s="75"/>
    </row>
    <row r="14" ht="16.5" customHeight="1">
      <c r="B14" s="118"/>
      <c r="C14" s="119" t="s">
        <v>22</v>
      </c>
      <c r="D14" s="120"/>
      <c r="E14" s="121">
        <v>1.0</v>
      </c>
      <c r="F14" s="122">
        <v>3.0</v>
      </c>
      <c r="G14" s="123" t="s">
        <v>42</v>
      </c>
      <c r="H14" s="124"/>
      <c r="I14" s="122"/>
      <c r="J14" s="122"/>
      <c r="K14" s="125"/>
      <c r="L14" s="126"/>
      <c r="M14" s="75"/>
    </row>
    <row r="15" ht="16.5" customHeight="1">
      <c r="B15" s="99"/>
      <c r="C15" s="100" t="s">
        <v>128</v>
      </c>
      <c r="D15" s="101"/>
      <c r="E15" s="102">
        <v>2.0</v>
      </c>
      <c r="F15" s="103">
        <v>4.0</v>
      </c>
      <c r="G15" s="104" t="s">
        <v>42</v>
      </c>
      <c r="H15" s="105"/>
      <c r="I15" s="103"/>
      <c r="J15" s="103"/>
      <c r="K15" s="103"/>
      <c r="L15" s="107"/>
      <c r="M15" s="75"/>
    </row>
    <row r="16" ht="16.5" customHeight="1">
      <c r="B16" s="99"/>
      <c r="C16" s="100" t="s">
        <v>129</v>
      </c>
      <c r="D16" s="101"/>
      <c r="E16" s="102">
        <v>3.0</v>
      </c>
      <c r="F16" s="103">
        <v>4.0</v>
      </c>
      <c r="G16" s="104" t="s">
        <v>42</v>
      </c>
      <c r="H16" s="105"/>
      <c r="I16" s="103"/>
      <c r="J16" s="103"/>
      <c r="K16" s="103"/>
      <c r="L16" s="107"/>
      <c r="M16" s="75"/>
    </row>
    <row r="17" ht="16.5" customHeight="1">
      <c r="B17" s="108"/>
      <c r="C17" s="100" t="s">
        <v>130</v>
      </c>
      <c r="D17" s="101"/>
      <c r="E17" s="102">
        <v>4.0</v>
      </c>
      <c r="F17" s="103">
        <v>4.0</v>
      </c>
      <c r="G17" s="104" t="s">
        <v>42</v>
      </c>
      <c r="H17" s="105"/>
      <c r="I17" s="103"/>
      <c r="J17" s="103"/>
      <c r="K17" s="103"/>
      <c r="L17" s="107"/>
      <c r="M17" s="75"/>
    </row>
    <row r="18" ht="16.5" customHeight="1">
      <c r="B18" s="127"/>
      <c r="C18" s="111" t="str">
        <f>iferror(vlookup(LEFT(C14,LEN(C14)-2)&amp;"*",ExcerciseLookup,3,FALSE),"")</f>
        <v>Video Tutorial</v>
      </c>
      <c r="D18" s="112"/>
      <c r="E18" s="128">
        <v>5.0</v>
      </c>
      <c r="F18" s="129">
        <v>4.0</v>
      </c>
      <c r="G18" s="130" t="s">
        <v>42</v>
      </c>
      <c r="H18" s="131"/>
      <c r="I18" s="129"/>
      <c r="J18" s="129"/>
      <c r="K18" s="129"/>
      <c r="L18" s="132"/>
      <c r="M18" s="75"/>
    </row>
    <row r="19" ht="13.5" customHeight="1">
      <c r="B19" s="20" t="s">
        <v>131</v>
      </c>
      <c r="C19" s="21"/>
      <c r="D19" s="21"/>
      <c r="E19" s="21"/>
      <c r="F19" s="21"/>
      <c r="G19" s="21"/>
      <c r="H19" s="21"/>
      <c r="I19" s="21"/>
      <c r="J19" s="21"/>
      <c r="K19" s="21"/>
      <c r="L19" s="80"/>
    </row>
    <row r="20" ht="13.5" customHeight="1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81"/>
    </row>
    <row r="21" ht="16.5" customHeight="1">
      <c r="B21" s="82"/>
      <c r="C21" s="83" t="s">
        <v>31</v>
      </c>
      <c r="D21" s="84"/>
      <c r="E21" s="85" t="s">
        <v>32</v>
      </c>
      <c r="F21" s="86" t="s">
        <v>33</v>
      </c>
      <c r="G21" s="87" t="s">
        <v>34</v>
      </c>
      <c r="H21" s="88" t="s">
        <v>35</v>
      </c>
      <c r="I21" s="88" t="s">
        <v>36</v>
      </c>
      <c r="J21" s="88" t="s">
        <v>37</v>
      </c>
      <c r="K21" s="88" t="s">
        <v>38</v>
      </c>
      <c r="L21" s="89" t="s">
        <v>39</v>
      </c>
    </row>
    <row r="22" ht="16.5" customHeight="1">
      <c r="B22" s="90"/>
      <c r="C22" s="91" t="s">
        <v>47</v>
      </c>
      <c r="D22" s="92"/>
      <c r="E22" s="93">
        <v>1.0</v>
      </c>
      <c r="F22" s="94">
        <v>2.0</v>
      </c>
      <c r="G22" s="95">
        <v>12.0</v>
      </c>
      <c r="H22" s="96"/>
      <c r="I22" s="94"/>
      <c r="J22" s="94"/>
      <c r="K22" s="97"/>
      <c r="L22" s="98"/>
      <c r="M22" s="75"/>
    </row>
    <row r="23" ht="16.5" customHeight="1">
      <c r="B23" s="99"/>
      <c r="C23" s="100" t="s">
        <v>132</v>
      </c>
      <c r="D23" s="101"/>
      <c r="E23" s="102">
        <v>2.0</v>
      </c>
      <c r="F23" s="103">
        <v>3.0</v>
      </c>
      <c r="G23" s="104">
        <v>12.0</v>
      </c>
      <c r="H23" s="105"/>
      <c r="I23" s="103"/>
      <c r="J23" s="103"/>
      <c r="K23" s="106"/>
      <c r="L23" s="107"/>
      <c r="M23" s="75"/>
    </row>
    <row r="24" ht="16.5" customHeight="1">
      <c r="B24" s="99"/>
      <c r="C24" s="100" t="s">
        <v>133</v>
      </c>
      <c r="D24" s="101"/>
      <c r="E24" s="102">
        <v>3.0</v>
      </c>
      <c r="F24" s="103">
        <v>3.0</v>
      </c>
      <c r="G24" s="104">
        <v>12.0</v>
      </c>
      <c r="H24" s="105"/>
      <c r="I24" s="103"/>
      <c r="J24" s="103"/>
      <c r="K24" s="103"/>
      <c r="L24" s="107"/>
      <c r="M24" s="75"/>
    </row>
    <row r="25" ht="16.5" customHeight="1">
      <c r="B25" s="108"/>
      <c r="C25" s="109"/>
      <c r="D25" s="101"/>
      <c r="E25" s="102">
        <v>4.0</v>
      </c>
      <c r="F25" s="103">
        <v>3.0</v>
      </c>
      <c r="G25" s="104">
        <v>12.0</v>
      </c>
      <c r="H25" s="105"/>
      <c r="I25" s="103"/>
      <c r="J25" s="103"/>
      <c r="K25" s="103"/>
      <c r="L25" s="107"/>
      <c r="M25" s="75"/>
    </row>
    <row r="26" ht="16.5" customHeight="1">
      <c r="B26" s="110"/>
      <c r="C26" s="111" t="str">
        <f>iferror(vlookup(LEFT(C22,LEN(C22)-2)&amp;"*",ExcerciseLookup,3,FALSE),"")</f>
        <v>Video Tutorial</v>
      </c>
      <c r="D26" s="112"/>
      <c r="E26" s="113">
        <v>5.0</v>
      </c>
      <c r="F26" s="114">
        <v>3.0</v>
      </c>
      <c r="G26" s="115">
        <v>12.0</v>
      </c>
      <c r="H26" s="116"/>
      <c r="I26" s="114"/>
      <c r="J26" s="114"/>
      <c r="K26" s="114"/>
      <c r="L26" s="117"/>
      <c r="M26" s="75"/>
    </row>
    <row r="27" ht="16.5" customHeight="1">
      <c r="B27" s="118"/>
      <c r="C27" s="119" t="s">
        <v>50</v>
      </c>
      <c r="D27" s="120"/>
      <c r="E27" s="121">
        <v>1.0</v>
      </c>
      <c r="F27" s="122">
        <v>2.0</v>
      </c>
      <c r="G27" s="123">
        <f t="shared" ref="G27:G31" si="2">IF(C$27="Bent-Over Barbell Row",15,12)</f>
        <v>12</v>
      </c>
      <c r="H27" s="124"/>
      <c r="I27" s="122"/>
      <c r="J27" s="122"/>
      <c r="K27" s="125"/>
      <c r="L27" s="126"/>
      <c r="M27" s="75"/>
    </row>
    <row r="28" ht="16.5" customHeight="1">
      <c r="B28" s="99"/>
      <c r="C28" s="100" t="s">
        <v>134</v>
      </c>
      <c r="D28" s="101"/>
      <c r="E28" s="102">
        <v>2.0</v>
      </c>
      <c r="F28" s="103">
        <v>3.0</v>
      </c>
      <c r="G28" s="104">
        <f t="shared" si="2"/>
        <v>12</v>
      </c>
      <c r="H28" s="105"/>
      <c r="I28" s="103"/>
      <c r="J28" s="103"/>
      <c r="K28" s="103"/>
      <c r="L28" s="107"/>
      <c r="M28" s="75"/>
    </row>
    <row r="29" ht="16.5" customHeight="1">
      <c r="B29" s="99"/>
      <c r="C29" s="100" t="s">
        <v>135</v>
      </c>
      <c r="D29" s="101"/>
      <c r="E29" s="102">
        <v>3.0</v>
      </c>
      <c r="F29" s="103">
        <v>3.0</v>
      </c>
      <c r="G29" s="104">
        <f t="shared" si="2"/>
        <v>12</v>
      </c>
      <c r="H29" s="105"/>
      <c r="I29" s="103"/>
      <c r="J29" s="103"/>
      <c r="K29" s="103"/>
      <c r="L29" s="107"/>
      <c r="M29" s="75"/>
    </row>
    <row r="30" ht="16.5" customHeight="1">
      <c r="B30" s="108"/>
      <c r="C30" s="100"/>
      <c r="D30" s="101"/>
      <c r="E30" s="102">
        <v>4.0</v>
      </c>
      <c r="F30" s="103">
        <v>3.0</v>
      </c>
      <c r="G30" s="104">
        <f t="shared" si="2"/>
        <v>12</v>
      </c>
      <c r="H30" s="105"/>
      <c r="I30" s="103"/>
      <c r="J30" s="103"/>
      <c r="K30" s="103"/>
      <c r="L30" s="107"/>
      <c r="M30" s="75"/>
    </row>
    <row r="31" ht="16.5" customHeight="1">
      <c r="B31" s="127"/>
      <c r="C31" s="111" t="str">
        <f>iferror(vlookup(LEFT(C27,LEN(C27)-2)&amp;"*",ExcerciseLookup,3,FALSE),"")</f>
        <v>Video Tutorial</v>
      </c>
      <c r="D31" s="112"/>
      <c r="E31" s="128">
        <v>5.0</v>
      </c>
      <c r="F31" s="129">
        <v>3.0</v>
      </c>
      <c r="G31" s="130">
        <f t="shared" si="2"/>
        <v>12</v>
      </c>
      <c r="H31" s="131"/>
      <c r="I31" s="129"/>
      <c r="J31" s="129"/>
      <c r="K31" s="129"/>
      <c r="L31" s="132"/>
      <c r="M31" s="75"/>
    </row>
    <row r="32" ht="13.5" customHeight="1">
      <c r="B32" s="20" t="s">
        <v>136</v>
      </c>
      <c r="C32" s="21"/>
      <c r="D32" s="21"/>
      <c r="E32" s="21"/>
      <c r="F32" s="21"/>
      <c r="G32" s="21"/>
      <c r="H32" s="21"/>
      <c r="I32" s="21"/>
      <c r="J32" s="21"/>
      <c r="K32" s="21"/>
      <c r="L32" s="80"/>
    </row>
    <row r="33" ht="13.5" customHeigh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81"/>
    </row>
    <row r="34" ht="16.5" customHeight="1">
      <c r="B34" s="82"/>
      <c r="C34" s="83" t="s">
        <v>31</v>
      </c>
      <c r="D34" s="84"/>
      <c r="E34" s="85" t="s">
        <v>32</v>
      </c>
      <c r="F34" s="86" t="s">
        <v>33</v>
      </c>
      <c r="G34" s="87" t="s">
        <v>34</v>
      </c>
      <c r="H34" s="88" t="s">
        <v>35</v>
      </c>
      <c r="I34" s="88" t="s">
        <v>36</v>
      </c>
      <c r="J34" s="88" t="s">
        <v>37</v>
      </c>
      <c r="K34" s="88" t="s">
        <v>38</v>
      </c>
      <c r="L34" s="89" t="s">
        <v>39</v>
      </c>
    </row>
    <row r="35" ht="16.5" customHeight="1">
      <c r="B35" s="90"/>
      <c r="C35" s="91" t="s">
        <v>57</v>
      </c>
      <c r="D35" s="92"/>
      <c r="E35" s="93">
        <v>1.0</v>
      </c>
      <c r="F35" s="94">
        <v>2.0</v>
      </c>
      <c r="G35" s="95" t="str">
        <f>IF(C$35="Front Plank","5 Breaths",IF(C$35="Crunches","AMRAP",15))</f>
        <v>5 Breaths</v>
      </c>
      <c r="H35" s="96"/>
      <c r="I35" s="94"/>
      <c r="J35" s="94"/>
      <c r="K35" s="97"/>
      <c r="L35" s="98"/>
      <c r="M35" s="75"/>
    </row>
    <row r="36" ht="16.5" customHeight="1">
      <c r="B36" s="99"/>
      <c r="C36" s="100" t="s">
        <v>137</v>
      </c>
      <c r="D36" s="101"/>
      <c r="E36" s="102">
        <v>2.0</v>
      </c>
      <c r="F36" s="103">
        <v>2.0</v>
      </c>
      <c r="G36" s="104" t="str">
        <f>IF(C$35="Front Plank","6 Breaths",IF(C$35="Crunches","AMRAP",15))</f>
        <v>6 Breaths</v>
      </c>
      <c r="H36" s="105"/>
      <c r="I36" s="103"/>
      <c r="J36" s="103"/>
      <c r="K36" s="106"/>
      <c r="L36" s="107"/>
      <c r="M36" s="75"/>
    </row>
    <row r="37" ht="16.5" customHeight="1">
      <c r="B37" s="99"/>
      <c r="C37" s="100" t="str">
        <f>IF(C35="Front Plank", "It's okay if these feel easy", "RIR: 1")</f>
        <v>It's okay if these feel easy</v>
      </c>
      <c r="D37" s="101"/>
      <c r="E37" s="102">
        <v>3.0</v>
      </c>
      <c r="F37" s="103">
        <v>2.0</v>
      </c>
      <c r="G37" s="104" t="str">
        <f>IF(C$35="Front Plank","7 Breaths",IF(C$35="Crunches","AMRAP",15))</f>
        <v>7 Breaths</v>
      </c>
      <c r="H37" s="105"/>
      <c r="I37" s="103"/>
      <c r="J37" s="103"/>
      <c r="K37" s="103"/>
      <c r="L37" s="107"/>
      <c r="M37" s="75"/>
    </row>
    <row r="38" ht="16.5" customHeight="1">
      <c r="B38" s="108"/>
      <c r="C38" s="109"/>
      <c r="D38" s="101"/>
      <c r="E38" s="102">
        <v>4.0</v>
      </c>
      <c r="F38" s="103">
        <v>2.0</v>
      </c>
      <c r="G38" s="104" t="str">
        <f>IF(C$35="Front Plank","8 Breaths",IF(C$35="Crunches","AMRAP",15))</f>
        <v>8 Breaths</v>
      </c>
      <c r="H38" s="105"/>
      <c r="I38" s="103"/>
      <c r="J38" s="103"/>
      <c r="K38" s="103"/>
      <c r="L38" s="107"/>
      <c r="M38" s="75"/>
    </row>
    <row r="39" ht="16.5" customHeight="1">
      <c r="B39" s="127"/>
      <c r="C39" s="111" t="str">
        <f>iferror(vlookup(LEFT(C35,LEN(C35)-2)&amp;"*",ExcerciseLookup,3,FALSE),"")</f>
        <v>Video Tutorial</v>
      </c>
      <c r="D39" s="112"/>
      <c r="E39" s="128">
        <v>5.0</v>
      </c>
      <c r="F39" s="129">
        <v>3.0</v>
      </c>
      <c r="G39" s="130" t="str">
        <f>IF(C$35="Front Plank","9 Breaths",IF(C$35="Crunches","AMRAP",15))</f>
        <v>9 Breaths</v>
      </c>
      <c r="H39" s="131"/>
      <c r="I39" s="129"/>
      <c r="J39" s="129"/>
      <c r="K39" s="129"/>
      <c r="L39" s="132"/>
      <c r="M39" s="75"/>
    </row>
    <row r="40" ht="16.5" customHeight="1">
      <c r="B40" s="118"/>
      <c r="C40" s="119" t="s">
        <v>54</v>
      </c>
      <c r="D40" s="120"/>
      <c r="E40" s="121">
        <v>1.0</v>
      </c>
      <c r="F40" s="122">
        <v>2.0</v>
      </c>
      <c r="G40" s="123">
        <v>12.0</v>
      </c>
      <c r="H40" s="124"/>
      <c r="I40" s="122"/>
      <c r="J40" s="122"/>
      <c r="K40" s="125"/>
      <c r="L40" s="126"/>
      <c r="M40" s="75"/>
    </row>
    <row r="41" ht="16.5" customHeight="1">
      <c r="B41" s="99"/>
      <c r="C41" s="100" t="s">
        <v>138</v>
      </c>
      <c r="D41" s="101"/>
      <c r="E41" s="102">
        <v>2.0</v>
      </c>
      <c r="F41" s="103">
        <v>2.0</v>
      </c>
      <c r="G41" s="104">
        <v>12.0</v>
      </c>
      <c r="H41" s="105"/>
      <c r="I41" s="103"/>
      <c r="J41" s="103"/>
      <c r="K41" s="103"/>
      <c r="L41" s="107"/>
      <c r="M41" s="75"/>
    </row>
    <row r="42" ht="16.5" customHeight="1">
      <c r="B42" s="99"/>
      <c r="C42" s="100" t="s">
        <v>139</v>
      </c>
      <c r="D42" s="101"/>
      <c r="E42" s="102">
        <v>3.0</v>
      </c>
      <c r="F42" s="103">
        <v>3.0</v>
      </c>
      <c r="G42" s="104">
        <v>12.0</v>
      </c>
      <c r="H42" s="105"/>
      <c r="I42" s="103"/>
      <c r="J42" s="103"/>
      <c r="K42" s="103"/>
      <c r="L42" s="107"/>
      <c r="M42" s="75"/>
    </row>
    <row r="43" ht="16.5" customHeight="1">
      <c r="B43" s="108"/>
      <c r="C43" s="100"/>
      <c r="D43" s="101"/>
      <c r="E43" s="102">
        <v>4.0</v>
      </c>
      <c r="F43" s="103">
        <v>3.0</v>
      </c>
      <c r="G43" s="104">
        <v>12.0</v>
      </c>
      <c r="H43" s="105"/>
      <c r="I43" s="103"/>
      <c r="J43" s="103"/>
      <c r="K43" s="103"/>
      <c r="L43" s="107"/>
      <c r="M43" s="75"/>
    </row>
    <row r="44" ht="16.5" customHeight="1">
      <c r="B44" s="127"/>
      <c r="C44" s="111" t="str">
        <f>iferror(vlookup(LEFT(C40,LEN(C40)-2)&amp;"*",ExcerciseLookup,3,FALSE),"")</f>
        <v>Video Tutorial</v>
      </c>
      <c r="D44" s="112"/>
      <c r="E44" s="128">
        <v>5.0</v>
      </c>
      <c r="F44" s="129">
        <v>4.0</v>
      </c>
      <c r="G44" s="130">
        <v>12.0</v>
      </c>
      <c r="H44" s="131"/>
      <c r="I44" s="129"/>
      <c r="J44" s="129"/>
      <c r="K44" s="129"/>
      <c r="L44" s="132"/>
      <c r="M44" s="75"/>
    </row>
    <row r="45" ht="16.5" customHeight="1">
      <c r="B45" s="118"/>
      <c r="C45" s="119" t="s">
        <v>65</v>
      </c>
      <c r="D45" s="120"/>
      <c r="E45" s="121">
        <v>1.0</v>
      </c>
      <c r="F45" s="122">
        <v>2.0</v>
      </c>
      <c r="G45" s="123" t="str">
        <f>IF(C$45="Pit Pulls","3×10 sec",15)</f>
        <v>3×10 sec</v>
      </c>
      <c r="H45" s="124"/>
      <c r="I45" s="122"/>
      <c r="J45" s="122"/>
      <c r="K45" s="125"/>
      <c r="L45" s="126"/>
      <c r="M45" s="75"/>
    </row>
    <row r="46" ht="16.5" customHeight="1">
      <c r="B46" s="99"/>
      <c r="C46" s="100" t="s">
        <v>140</v>
      </c>
      <c r="D46" s="101"/>
      <c r="E46" s="102">
        <v>2.0</v>
      </c>
      <c r="F46" s="103">
        <v>2.0</v>
      </c>
      <c r="G46" s="104" t="str">
        <f>IF(C$45="Pit Pulls","3×15 sec",15)</f>
        <v>3×15 sec</v>
      </c>
      <c r="H46" s="105"/>
      <c r="I46" s="103"/>
      <c r="J46" s="103"/>
      <c r="K46" s="103"/>
      <c r="L46" s="107"/>
      <c r="M46" s="75"/>
    </row>
    <row r="47" ht="16.5" customHeight="1">
      <c r="B47" s="99"/>
      <c r="C47" s="100" t="s">
        <v>141</v>
      </c>
      <c r="D47" s="101"/>
      <c r="E47" s="102">
        <v>3.0</v>
      </c>
      <c r="F47" s="103">
        <v>2.0</v>
      </c>
      <c r="G47" s="104" t="str">
        <f>IF(C$45="Pit Pulls","3×20 sec",15)</f>
        <v>3×20 sec</v>
      </c>
      <c r="H47" s="105"/>
      <c r="I47" s="103"/>
      <c r="J47" s="103"/>
      <c r="K47" s="103"/>
      <c r="L47" s="107"/>
      <c r="M47" s="75"/>
    </row>
    <row r="48" ht="16.5" customHeight="1">
      <c r="B48" s="108"/>
      <c r="C48" s="100"/>
      <c r="D48" s="101"/>
      <c r="E48" s="102">
        <v>4.0</v>
      </c>
      <c r="F48" s="103">
        <v>2.0</v>
      </c>
      <c r="G48" s="104" t="str">
        <f>IF(C$45="Pit Pulls","3×25 sec",15)</f>
        <v>3×25 sec</v>
      </c>
      <c r="H48" s="105"/>
      <c r="I48" s="103"/>
      <c r="J48" s="103"/>
      <c r="K48" s="103"/>
      <c r="L48" s="107"/>
      <c r="M48" s="75"/>
    </row>
    <row r="49" ht="16.5" customHeight="1">
      <c r="B49" s="127"/>
      <c r="C49" s="111" t="str">
        <f>iferror(vlookup(LEFT(C45,LEN(C45)-2)&amp;"*",ExcerciseLookup,3,FALSE),"")</f>
        <v>Video Tutorial</v>
      </c>
      <c r="D49" s="112"/>
      <c r="E49" s="128">
        <v>5.0</v>
      </c>
      <c r="F49" s="129">
        <v>2.0</v>
      </c>
      <c r="G49" s="130" t="str">
        <f>IF(C$45="Pit Pulls","3×30 sec",15)</f>
        <v>3×30 sec</v>
      </c>
      <c r="H49" s="131"/>
      <c r="I49" s="129"/>
      <c r="J49" s="129"/>
      <c r="K49" s="129"/>
      <c r="L49" s="132"/>
      <c r="M49" s="75"/>
    </row>
    <row r="50" ht="13.5" customHeight="1">
      <c r="B50" s="20" t="s">
        <v>142</v>
      </c>
      <c r="C50" s="21"/>
      <c r="D50" s="21"/>
      <c r="E50" s="21"/>
      <c r="F50" s="21"/>
      <c r="G50" s="21"/>
      <c r="H50" s="21"/>
      <c r="I50" s="21"/>
      <c r="J50" s="21"/>
      <c r="K50" s="21"/>
      <c r="L50" s="80"/>
    </row>
    <row r="51" ht="13.5" customHeight="1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81"/>
    </row>
    <row r="52" ht="16.5" customHeight="1">
      <c r="B52" s="82"/>
      <c r="C52" s="83" t="s">
        <v>31</v>
      </c>
      <c r="D52" s="84"/>
      <c r="E52" s="85" t="s">
        <v>32</v>
      </c>
      <c r="F52" s="86" t="s">
        <v>33</v>
      </c>
      <c r="G52" s="87" t="s">
        <v>34</v>
      </c>
      <c r="H52" s="88" t="s">
        <v>35</v>
      </c>
      <c r="I52" s="88" t="s">
        <v>36</v>
      </c>
      <c r="J52" s="88" t="s">
        <v>37</v>
      </c>
      <c r="K52" s="88" t="s">
        <v>38</v>
      </c>
      <c r="L52" s="89" t="s">
        <v>39</v>
      </c>
    </row>
    <row r="53" ht="16.5" customHeight="1">
      <c r="B53" s="90"/>
      <c r="C53" s="91" t="s">
        <v>143</v>
      </c>
      <c r="D53" s="92"/>
      <c r="E53" s="93">
        <v>1.0</v>
      </c>
      <c r="F53" s="94">
        <v>3.0</v>
      </c>
      <c r="G53" s="95">
        <v>12.0</v>
      </c>
      <c r="H53" s="96"/>
      <c r="I53" s="94"/>
      <c r="J53" s="94"/>
      <c r="K53" s="97"/>
      <c r="L53" s="98"/>
      <c r="M53" s="75"/>
    </row>
    <row r="54" ht="16.5" customHeight="1">
      <c r="B54" s="99"/>
      <c r="C54" s="100" t="s">
        <v>144</v>
      </c>
      <c r="D54" s="101"/>
      <c r="E54" s="102">
        <v>2.0</v>
      </c>
      <c r="F54" s="103">
        <v>3.0</v>
      </c>
      <c r="G54" s="104">
        <v>12.0</v>
      </c>
      <c r="H54" s="105"/>
      <c r="I54" s="103"/>
      <c r="J54" s="103"/>
      <c r="K54" s="106"/>
      <c r="L54" s="107"/>
      <c r="M54" s="75"/>
    </row>
    <row r="55" ht="16.5" customHeight="1">
      <c r="B55" s="99"/>
      <c r="C55" s="100" t="s">
        <v>145</v>
      </c>
      <c r="D55" s="101"/>
      <c r="E55" s="102">
        <v>3.0</v>
      </c>
      <c r="F55" s="103">
        <v>3.0</v>
      </c>
      <c r="G55" s="104">
        <v>12.0</v>
      </c>
      <c r="H55" s="105"/>
      <c r="I55" s="103"/>
      <c r="J55" s="103"/>
      <c r="K55" s="103"/>
      <c r="L55" s="107"/>
      <c r="M55" s="75"/>
    </row>
    <row r="56" ht="16.5" customHeight="1">
      <c r="B56" s="108"/>
      <c r="C56" s="109"/>
      <c r="D56" s="101"/>
      <c r="E56" s="102">
        <v>4.0</v>
      </c>
      <c r="F56" s="103">
        <v>3.0</v>
      </c>
      <c r="G56" s="104">
        <v>12.0</v>
      </c>
      <c r="H56" s="105"/>
      <c r="I56" s="103"/>
      <c r="J56" s="103"/>
      <c r="K56" s="103"/>
      <c r="L56" s="107"/>
      <c r="M56" s="75"/>
    </row>
    <row r="57" ht="16.5" customHeight="1">
      <c r="B57" s="127"/>
      <c r="C57" s="135" t="str">
        <f>iferror(vlookup(LEFT(C53,LEN(C53)-2)&amp;"*",ExcerciseLookup,3,FALSE),"")</f>
        <v/>
      </c>
      <c r="D57" s="112"/>
      <c r="E57" s="128">
        <v>5.0</v>
      </c>
      <c r="F57" s="129">
        <v>4.0</v>
      </c>
      <c r="G57" s="130">
        <v>12.0</v>
      </c>
      <c r="H57" s="131"/>
      <c r="I57" s="129"/>
      <c r="J57" s="129"/>
      <c r="K57" s="129"/>
      <c r="L57" s="132"/>
      <c r="M57" s="75"/>
    </row>
    <row r="58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</row>
    <row r="59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</row>
    <row r="60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</row>
    <row r="61" ht="15.75" customHeight="1">
      <c r="B61" s="64"/>
      <c r="C61" s="65"/>
      <c r="D61" s="65"/>
      <c r="E61" s="65"/>
      <c r="F61" s="66"/>
      <c r="G61" s="66"/>
      <c r="H61" s="66"/>
      <c r="I61" s="66"/>
      <c r="J61" s="67"/>
      <c r="K61" s="67"/>
      <c r="L61" s="68"/>
    </row>
    <row r="62" ht="15.0" customHeight="1">
      <c r="B62" s="69"/>
      <c r="C62" s="8"/>
      <c r="F62" s="9" t="s">
        <v>146</v>
      </c>
      <c r="G62" s="9"/>
      <c r="H62" s="70"/>
      <c r="I62" s="71"/>
      <c r="J62" s="71"/>
      <c r="K62" s="11"/>
      <c r="L62" s="72"/>
    </row>
    <row r="63" ht="15.0" customHeight="1">
      <c r="B63" s="69"/>
      <c r="F63" s="13" t="s">
        <v>72</v>
      </c>
      <c r="G63" s="13"/>
      <c r="H63" s="73"/>
      <c r="I63" s="74"/>
      <c r="J63" s="74"/>
      <c r="K63" s="14"/>
      <c r="L63" s="72"/>
      <c r="M63" s="75"/>
    </row>
    <row r="64">
      <c r="B64" s="69"/>
      <c r="C64" s="7"/>
      <c r="D64" s="7"/>
      <c r="E64" s="7"/>
      <c r="F64" s="76"/>
      <c r="G64" s="76"/>
      <c r="H64" s="76"/>
      <c r="I64" s="76"/>
      <c r="J64" s="77"/>
      <c r="K64" s="77"/>
      <c r="L64" s="78"/>
      <c r="M64" s="79"/>
    </row>
    <row r="65" ht="13.5" customHeight="1">
      <c r="B65" s="20" t="s">
        <v>147</v>
      </c>
      <c r="C65" s="21"/>
      <c r="D65" s="21"/>
      <c r="E65" s="21"/>
      <c r="F65" s="21"/>
      <c r="G65" s="21"/>
      <c r="H65" s="21"/>
      <c r="I65" s="21"/>
      <c r="J65" s="21"/>
      <c r="K65" s="21"/>
      <c r="L65" s="80"/>
    </row>
    <row r="66" ht="13.5" customHeight="1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81"/>
    </row>
    <row r="67">
      <c r="B67" s="82"/>
      <c r="C67" s="83" t="s">
        <v>31</v>
      </c>
      <c r="D67" s="84"/>
      <c r="E67" s="85" t="s">
        <v>32</v>
      </c>
      <c r="F67" s="86" t="s">
        <v>33</v>
      </c>
      <c r="G67" s="87" t="s">
        <v>34</v>
      </c>
      <c r="H67" s="88" t="s">
        <v>35</v>
      </c>
      <c r="I67" s="88" t="s">
        <v>36</v>
      </c>
      <c r="J67" s="88" t="s">
        <v>37</v>
      </c>
      <c r="K67" s="88" t="s">
        <v>38</v>
      </c>
      <c r="L67" s="89" t="s">
        <v>39</v>
      </c>
    </row>
    <row r="68">
      <c r="B68" s="90"/>
      <c r="C68" s="91" t="s">
        <v>148</v>
      </c>
      <c r="D68" s="92"/>
      <c r="E68" s="93">
        <v>1.0</v>
      </c>
      <c r="F68" s="94">
        <v>2.0</v>
      </c>
      <c r="G68" s="95">
        <v>8.0</v>
      </c>
      <c r="H68" s="96"/>
      <c r="I68" s="94"/>
      <c r="J68" s="94"/>
      <c r="K68" s="97"/>
      <c r="L68" s="98"/>
    </row>
    <row r="69">
      <c r="B69" s="99"/>
      <c r="C69" s="100" t="s">
        <v>149</v>
      </c>
      <c r="D69" s="101"/>
      <c r="E69" s="102">
        <v>2.0</v>
      </c>
      <c r="F69" s="103">
        <v>3.0</v>
      </c>
      <c r="G69" s="104">
        <v>8.0</v>
      </c>
      <c r="H69" s="105"/>
      <c r="I69" s="103"/>
      <c r="J69" s="103"/>
      <c r="K69" s="106"/>
      <c r="L69" s="107"/>
    </row>
    <row r="70">
      <c r="B70" s="99"/>
      <c r="C70" s="100" t="s">
        <v>150</v>
      </c>
      <c r="D70" s="101"/>
      <c r="E70" s="102">
        <v>3.0</v>
      </c>
      <c r="F70" s="103">
        <v>4.0</v>
      </c>
      <c r="G70" s="104">
        <v>8.0</v>
      </c>
      <c r="H70" s="105"/>
      <c r="I70" s="103"/>
      <c r="J70" s="103"/>
      <c r="K70" s="103"/>
      <c r="L70" s="107"/>
      <c r="M70" s="75"/>
    </row>
    <row r="71">
      <c r="B71" s="108"/>
      <c r="C71" s="109"/>
      <c r="D71" s="101"/>
      <c r="E71" s="102">
        <v>4.0</v>
      </c>
      <c r="F71" s="103">
        <v>4.0</v>
      </c>
      <c r="G71" s="104">
        <v>8.0</v>
      </c>
      <c r="H71" s="105"/>
      <c r="I71" s="103"/>
      <c r="J71" s="103"/>
      <c r="K71" s="103"/>
      <c r="L71" s="107"/>
      <c r="M71" s="75"/>
    </row>
    <row r="72">
      <c r="B72" s="127"/>
      <c r="C72" s="111" t="str">
        <f>iferror(vlookup(LEFT(C68,LEN(C68)-2)&amp;"*",ExcerciseLookup,3,FALSE),"")</f>
        <v>Video Tutorial</v>
      </c>
      <c r="D72" s="112"/>
      <c r="E72" s="128">
        <v>5.0</v>
      </c>
      <c r="F72" s="129">
        <v>4.0</v>
      </c>
      <c r="G72" s="130">
        <v>8.0</v>
      </c>
      <c r="H72" s="131"/>
      <c r="I72" s="129"/>
      <c r="J72" s="129"/>
      <c r="K72" s="129"/>
      <c r="L72" s="132"/>
      <c r="M72" s="75"/>
    </row>
    <row r="73">
      <c r="B73" s="118"/>
      <c r="C73" s="119" t="s">
        <v>76</v>
      </c>
      <c r="D73" s="120"/>
      <c r="E73" s="121">
        <v>1.0</v>
      </c>
      <c r="F73" s="122">
        <v>2.0</v>
      </c>
      <c r="G73" s="123">
        <f t="shared" ref="G73:G77" si="3">IF(C$73="Bent-Over Barbell Row",12,8)</f>
        <v>8</v>
      </c>
      <c r="H73" s="124"/>
      <c r="I73" s="122"/>
      <c r="J73" s="122"/>
      <c r="K73" s="125"/>
      <c r="L73" s="126"/>
      <c r="M73" s="75"/>
    </row>
    <row r="74">
      <c r="B74" s="99"/>
      <c r="C74" s="100" t="s">
        <v>151</v>
      </c>
      <c r="D74" s="101"/>
      <c r="E74" s="102">
        <v>2.0</v>
      </c>
      <c r="F74" s="103">
        <v>3.0</v>
      </c>
      <c r="G74" s="104">
        <f t="shared" si="3"/>
        <v>8</v>
      </c>
      <c r="H74" s="105"/>
      <c r="I74" s="103"/>
      <c r="J74" s="103"/>
      <c r="K74" s="103"/>
      <c r="L74" s="107"/>
      <c r="M74" s="75"/>
    </row>
    <row r="75">
      <c r="B75" s="99"/>
      <c r="C75" s="100" t="s">
        <v>152</v>
      </c>
      <c r="D75" s="101"/>
      <c r="E75" s="102">
        <v>3.0</v>
      </c>
      <c r="F75" s="103">
        <v>4.0</v>
      </c>
      <c r="G75" s="104">
        <f t="shared" si="3"/>
        <v>8</v>
      </c>
      <c r="H75" s="105"/>
      <c r="I75" s="103"/>
      <c r="J75" s="103"/>
      <c r="K75" s="103"/>
      <c r="L75" s="107"/>
    </row>
    <row r="76">
      <c r="B76" s="108"/>
      <c r="C76" s="100"/>
      <c r="D76" s="101"/>
      <c r="E76" s="102">
        <v>4.0</v>
      </c>
      <c r="F76" s="103">
        <v>4.0</v>
      </c>
      <c r="G76" s="104">
        <f t="shared" si="3"/>
        <v>8</v>
      </c>
      <c r="H76" s="105"/>
      <c r="I76" s="103"/>
      <c r="J76" s="103"/>
      <c r="K76" s="103"/>
      <c r="L76" s="107"/>
    </row>
    <row r="77">
      <c r="B77" s="127"/>
      <c r="C77" s="111" t="str">
        <f>iferror(vlookup(LEFT(C73,LEN(C73)-2)&amp;"*",ExcerciseLookup,3,FALSE),"")</f>
        <v>Video Tutorial</v>
      </c>
      <c r="D77" s="112"/>
      <c r="E77" s="128">
        <v>5.0</v>
      </c>
      <c r="F77" s="129">
        <v>5.0</v>
      </c>
      <c r="G77" s="130">
        <f t="shared" si="3"/>
        <v>8</v>
      </c>
      <c r="H77" s="131"/>
      <c r="I77" s="129"/>
      <c r="J77" s="129"/>
      <c r="K77" s="129"/>
      <c r="L77" s="132"/>
    </row>
    <row r="78">
      <c r="B78" s="20" t="s">
        <v>153</v>
      </c>
      <c r="C78" s="21"/>
      <c r="D78" s="21"/>
      <c r="E78" s="21"/>
      <c r="F78" s="21"/>
      <c r="G78" s="21"/>
      <c r="H78" s="21"/>
      <c r="I78" s="21"/>
      <c r="J78" s="21"/>
      <c r="K78" s="21"/>
      <c r="L78" s="80"/>
    </row>
    <row r="79" ht="13.5" customHeight="1"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81"/>
    </row>
    <row r="80">
      <c r="B80" s="82"/>
      <c r="C80" s="83" t="s">
        <v>31</v>
      </c>
      <c r="D80" s="84"/>
      <c r="E80" s="85" t="s">
        <v>32</v>
      </c>
      <c r="F80" s="86" t="s">
        <v>33</v>
      </c>
      <c r="G80" s="87" t="s">
        <v>34</v>
      </c>
      <c r="H80" s="88" t="s">
        <v>35</v>
      </c>
      <c r="I80" s="88" t="s">
        <v>36</v>
      </c>
      <c r="J80" s="88" t="s">
        <v>37</v>
      </c>
      <c r="K80" s="88" t="s">
        <v>38</v>
      </c>
      <c r="L80" s="89" t="s">
        <v>39</v>
      </c>
    </row>
    <row r="81">
      <c r="B81" s="90"/>
      <c r="C81" s="91" t="s">
        <v>154</v>
      </c>
      <c r="D81" s="92"/>
      <c r="E81" s="93">
        <v>1.0</v>
      </c>
      <c r="F81" s="94">
        <v>2.0</v>
      </c>
      <c r="G81" s="95">
        <v>10.0</v>
      </c>
      <c r="H81" s="96"/>
      <c r="I81" s="94"/>
      <c r="J81" s="94"/>
      <c r="K81" s="97"/>
      <c r="L81" s="98"/>
    </row>
    <row r="82">
      <c r="B82" s="99"/>
      <c r="C82" s="100" t="s">
        <v>155</v>
      </c>
      <c r="D82" s="101"/>
      <c r="E82" s="102">
        <v>2.0</v>
      </c>
      <c r="F82" s="103">
        <v>3.0</v>
      </c>
      <c r="G82" s="104">
        <v>10.0</v>
      </c>
      <c r="H82" s="105"/>
      <c r="I82" s="103"/>
      <c r="J82" s="103"/>
      <c r="K82" s="106"/>
      <c r="L82" s="107"/>
    </row>
    <row r="83">
      <c r="B83" s="99"/>
      <c r="C83" s="100" t="s">
        <v>156</v>
      </c>
      <c r="D83" s="101"/>
      <c r="E83" s="102">
        <v>3.0</v>
      </c>
      <c r="F83" s="103">
        <v>3.0</v>
      </c>
      <c r="G83" s="104">
        <v>10.0</v>
      </c>
      <c r="H83" s="105"/>
      <c r="I83" s="103"/>
      <c r="J83" s="103"/>
      <c r="K83" s="103"/>
      <c r="L83" s="107"/>
    </row>
    <row r="84">
      <c r="B84" s="108"/>
      <c r="C84" s="109"/>
      <c r="D84" s="101"/>
      <c r="E84" s="102">
        <v>4.0</v>
      </c>
      <c r="F84" s="103">
        <v>3.0</v>
      </c>
      <c r="G84" s="104">
        <v>10.0</v>
      </c>
      <c r="H84" s="105"/>
      <c r="I84" s="103"/>
      <c r="J84" s="103"/>
      <c r="K84" s="103"/>
      <c r="L84" s="107"/>
    </row>
    <row r="85">
      <c r="B85" s="127"/>
      <c r="C85" s="111" t="str">
        <f>iferror(vlookup(LEFT(C81,LEN(C81)-2)&amp;"*",ExcerciseLookup,3,FALSE),"")</f>
        <v>Video Tutorial</v>
      </c>
      <c r="D85" s="112"/>
      <c r="E85" s="128">
        <v>5.0</v>
      </c>
      <c r="F85" s="129">
        <v>4.0</v>
      </c>
      <c r="G85" s="130">
        <v>10.0</v>
      </c>
      <c r="H85" s="131"/>
      <c r="I85" s="129"/>
      <c r="J85" s="129"/>
      <c r="K85" s="129"/>
      <c r="L85" s="132"/>
    </row>
    <row r="86">
      <c r="B86" s="118"/>
      <c r="C86" s="119" t="s">
        <v>125</v>
      </c>
      <c r="D86" s="120"/>
      <c r="E86" s="121">
        <v>1.0</v>
      </c>
      <c r="F86" s="122">
        <v>2.0</v>
      </c>
      <c r="G86" s="123">
        <v>10.0</v>
      </c>
      <c r="H86" s="124"/>
      <c r="I86" s="122"/>
      <c r="J86" s="122"/>
      <c r="K86" s="125"/>
      <c r="L86" s="126"/>
    </row>
    <row r="87">
      <c r="B87" s="99"/>
      <c r="C87" s="100" t="s">
        <v>157</v>
      </c>
      <c r="D87" s="101"/>
      <c r="E87" s="102">
        <v>2.0</v>
      </c>
      <c r="F87" s="103">
        <v>3.0</v>
      </c>
      <c r="G87" s="104">
        <v>10.0</v>
      </c>
      <c r="H87" s="105"/>
      <c r="I87" s="103"/>
      <c r="J87" s="103"/>
      <c r="K87" s="103"/>
      <c r="L87" s="107"/>
    </row>
    <row r="88">
      <c r="B88" s="99"/>
      <c r="C88" s="100" t="s">
        <v>158</v>
      </c>
      <c r="D88" s="101"/>
      <c r="E88" s="102">
        <v>3.0</v>
      </c>
      <c r="F88" s="103">
        <v>3.0</v>
      </c>
      <c r="G88" s="104">
        <v>10.0</v>
      </c>
      <c r="H88" s="105"/>
      <c r="I88" s="103"/>
      <c r="J88" s="103"/>
      <c r="K88" s="103"/>
      <c r="L88" s="107"/>
    </row>
    <row r="89">
      <c r="B89" s="108"/>
      <c r="C89" s="100"/>
      <c r="D89" s="101"/>
      <c r="E89" s="102">
        <v>4.0</v>
      </c>
      <c r="F89" s="103">
        <v>3.0</v>
      </c>
      <c r="G89" s="104">
        <v>10.0</v>
      </c>
      <c r="H89" s="105"/>
      <c r="I89" s="103"/>
      <c r="J89" s="103"/>
      <c r="K89" s="103"/>
      <c r="L89" s="107"/>
    </row>
    <row r="90">
      <c r="B90" s="127"/>
      <c r="C90" s="111" t="str">
        <f>iferror(vlookup(LEFT(C86,LEN(C86)-2)&amp;"*",ExcerciseLookup,3,FALSE),"")</f>
        <v>Video Tutorial</v>
      </c>
      <c r="D90" s="112"/>
      <c r="E90" s="128">
        <v>5.0</v>
      </c>
      <c r="F90" s="129">
        <v>4.0</v>
      </c>
      <c r="G90" s="130">
        <v>10.0</v>
      </c>
      <c r="H90" s="131"/>
      <c r="I90" s="129"/>
      <c r="J90" s="129"/>
      <c r="K90" s="129"/>
      <c r="L90" s="132"/>
    </row>
    <row r="91" ht="13.5" customHeight="1">
      <c r="B91" s="20" t="s">
        <v>159</v>
      </c>
      <c r="C91" s="21"/>
      <c r="D91" s="21"/>
      <c r="E91" s="21"/>
      <c r="F91" s="21"/>
      <c r="G91" s="21"/>
      <c r="H91" s="21"/>
      <c r="I91" s="21"/>
      <c r="J91" s="21"/>
      <c r="K91" s="21"/>
      <c r="L91" s="80"/>
    </row>
    <row r="92" ht="13.5" customHeight="1"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81"/>
    </row>
    <row r="93">
      <c r="B93" s="82"/>
      <c r="C93" s="83" t="s">
        <v>31</v>
      </c>
      <c r="D93" s="84"/>
      <c r="E93" s="85" t="s">
        <v>32</v>
      </c>
      <c r="F93" s="86" t="s">
        <v>33</v>
      </c>
      <c r="G93" s="87" t="s">
        <v>34</v>
      </c>
      <c r="H93" s="88" t="s">
        <v>35</v>
      </c>
      <c r="I93" s="88" t="s">
        <v>36</v>
      </c>
      <c r="J93" s="88" t="s">
        <v>37</v>
      </c>
      <c r="K93" s="88" t="s">
        <v>38</v>
      </c>
      <c r="L93" s="89" t="s">
        <v>39</v>
      </c>
    </row>
    <row r="94">
      <c r="B94" s="90"/>
      <c r="C94" s="91" t="s">
        <v>88</v>
      </c>
      <c r="D94" s="92"/>
      <c r="E94" s="93">
        <v>1.0</v>
      </c>
      <c r="F94" s="94">
        <v>2.0</v>
      </c>
      <c r="G94" s="95" t="s">
        <v>58</v>
      </c>
      <c r="H94" s="96"/>
      <c r="I94" s="94"/>
      <c r="J94" s="94"/>
      <c r="K94" s="97"/>
      <c r="L94" s="98"/>
    </row>
    <row r="95">
      <c r="B95" s="99"/>
      <c r="C95" s="100" t="s">
        <v>160</v>
      </c>
      <c r="D95" s="101"/>
      <c r="E95" s="102">
        <v>2.0</v>
      </c>
      <c r="F95" s="103">
        <v>2.0</v>
      </c>
      <c r="G95" s="104" t="s">
        <v>60</v>
      </c>
      <c r="H95" s="105"/>
      <c r="I95" s="103"/>
      <c r="J95" s="103"/>
      <c r="K95" s="106"/>
      <c r="L95" s="107"/>
    </row>
    <row r="96">
      <c r="B96" s="99"/>
      <c r="C96" s="100" t="s">
        <v>61</v>
      </c>
      <c r="D96" s="101"/>
      <c r="E96" s="102">
        <v>3.0</v>
      </c>
      <c r="F96" s="103">
        <v>2.0</v>
      </c>
      <c r="G96" s="104" t="s">
        <v>62</v>
      </c>
      <c r="H96" s="105"/>
      <c r="I96" s="103"/>
      <c r="J96" s="103"/>
      <c r="K96" s="103"/>
      <c r="L96" s="107"/>
    </row>
    <row r="97">
      <c r="B97" s="108"/>
      <c r="C97" s="109"/>
      <c r="D97" s="101"/>
      <c r="E97" s="102">
        <v>4.0</v>
      </c>
      <c r="F97" s="103">
        <v>2.0</v>
      </c>
      <c r="G97" s="104" t="s">
        <v>63</v>
      </c>
      <c r="H97" s="105"/>
      <c r="I97" s="103"/>
      <c r="J97" s="103"/>
      <c r="K97" s="103"/>
      <c r="L97" s="107"/>
    </row>
    <row r="98">
      <c r="B98" s="127"/>
      <c r="C98" s="111" t="str">
        <f>iferror(vlookup(LEFT(C94,LEN(C94)-2)&amp;"*",ExcerciseLookup,3,FALSE),"")</f>
        <v>Video Tutorial</v>
      </c>
      <c r="D98" s="112"/>
      <c r="E98" s="128">
        <v>5.0</v>
      </c>
      <c r="F98" s="129">
        <v>3.0</v>
      </c>
      <c r="G98" s="130" t="s">
        <v>64</v>
      </c>
      <c r="H98" s="131"/>
      <c r="I98" s="129"/>
      <c r="J98" s="129"/>
      <c r="K98" s="129"/>
      <c r="L98" s="132"/>
    </row>
    <row r="99">
      <c r="B99" s="118"/>
      <c r="C99" s="119" t="s">
        <v>161</v>
      </c>
      <c r="D99" s="120"/>
      <c r="E99" s="121">
        <v>1.0</v>
      </c>
      <c r="F99" s="122">
        <v>3.0</v>
      </c>
      <c r="G99" s="123">
        <v>12.0</v>
      </c>
      <c r="H99" s="124"/>
      <c r="I99" s="122"/>
      <c r="J99" s="122"/>
      <c r="K99" s="125"/>
      <c r="L99" s="126"/>
    </row>
    <row r="100">
      <c r="B100" s="99"/>
      <c r="C100" s="100" t="s">
        <v>162</v>
      </c>
      <c r="D100" s="101"/>
      <c r="E100" s="102">
        <v>2.0</v>
      </c>
      <c r="F100" s="103">
        <v>3.0</v>
      </c>
      <c r="G100" s="104">
        <v>12.0</v>
      </c>
      <c r="H100" s="105"/>
      <c r="I100" s="103"/>
      <c r="J100" s="103"/>
      <c r="K100" s="103"/>
      <c r="L100" s="107"/>
    </row>
    <row r="101">
      <c r="B101" s="99"/>
      <c r="C101" s="100" t="s">
        <v>163</v>
      </c>
      <c r="D101" s="101"/>
      <c r="E101" s="102">
        <v>3.0</v>
      </c>
      <c r="F101" s="103">
        <v>3.0</v>
      </c>
      <c r="G101" s="104">
        <v>12.0</v>
      </c>
      <c r="H101" s="105"/>
      <c r="I101" s="103"/>
      <c r="J101" s="103"/>
      <c r="K101" s="103"/>
      <c r="L101" s="107"/>
    </row>
    <row r="102">
      <c r="B102" s="108"/>
      <c r="C102" s="100" t="s">
        <v>164</v>
      </c>
      <c r="D102" s="101"/>
      <c r="E102" s="102">
        <v>4.0</v>
      </c>
      <c r="F102" s="103">
        <v>3.0</v>
      </c>
      <c r="G102" s="104">
        <v>12.0</v>
      </c>
      <c r="H102" s="105"/>
      <c r="I102" s="103"/>
      <c r="J102" s="103"/>
      <c r="K102" s="103"/>
      <c r="L102" s="107"/>
    </row>
    <row r="103">
      <c r="B103" s="127"/>
      <c r="C103" s="111" t="str">
        <f>iferror(vlookup(LEFT(C99,LEN(C99)-2)&amp;"*",ExcerciseLookup,3,FALSE),"")</f>
        <v>Video Tutorial</v>
      </c>
      <c r="D103" s="112"/>
      <c r="E103" s="128">
        <v>5.0</v>
      </c>
      <c r="F103" s="129">
        <v>4.0</v>
      </c>
      <c r="G103" s="130">
        <v>12.0</v>
      </c>
      <c r="H103" s="131"/>
      <c r="I103" s="129"/>
      <c r="J103" s="129"/>
      <c r="K103" s="129"/>
      <c r="L103" s="132"/>
    </row>
    <row r="104"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</row>
    <row r="105"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</row>
    <row r="106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</row>
    <row r="107" ht="15.75" customHeight="1">
      <c r="B107" s="64"/>
      <c r="C107" s="65"/>
      <c r="D107" s="65"/>
      <c r="E107" s="65"/>
      <c r="F107" s="66"/>
      <c r="G107" s="66"/>
      <c r="H107" s="66"/>
      <c r="I107" s="66"/>
      <c r="J107" s="67"/>
      <c r="K107" s="67"/>
      <c r="L107" s="68"/>
    </row>
    <row r="108" ht="15.0" customHeight="1">
      <c r="B108" s="69"/>
      <c r="C108" s="8"/>
      <c r="F108" s="9" t="s">
        <v>146</v>
      </c>
      <c r="G108" s="9"/>
      <c r="H108" s="70"/>
      <c r="I108" s="71"/>
      <c r="J108" s="71"/>
      <c r="K108" s="11"/>
      <c r="L108" s="72"/>
    </row>
    <row r="109" ht="15.0" customHeight="1">
      <c r="B109" s="69"/>
      <c r="F109" s="13" t="s">
        <v>97</v>
      </c>
      <c r="G109" s="13"/>
      <c r="H109" s="73"/>
      <c r="I109" s="74"/>
      <c r="J109" s="74"/>
      <c r="K109" s="14"/>
      <c r="L109" s="72"/>
      <c r="M109" s="75"/>
    </row>
    <row r="110">
      <c r="B110" s="69"/>
      <c r="C110" s="7"/>
      <c r="D110" s="7"/>
      <c r="E110" s="7"/>
      <c r="F110" s="76"/>
      <c r="G110" s="76"/>
      <c r="H110" s="76"/>
      <c r="I110" s="76"/>
      <c r="J110" s="77"/>
      <c r="K110" s="77"/>
      <c r="L110" s="78"/>
      <c r="M110" s="79"/>
    </row>
    <row r="111" ht="13.5" customHeight="1">
      <c r="B111" s="20" t="s">
        <v>165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80"/>
    </row>
    <row r="112" ht="13.5" customHeight="1">
      <c r="B112" s="22"/>
      <c r="C112" s="23"/>
      <c r="D112" s="23"/>
      <c r="E112" s="23"/>
      <c r="F112" s="23"/>
      <c r="G112" s="23"/>
      <c r="H112" s="23"/>
      <c r="I112" s="23"/>
      <c r="J112" s="23"/>
      <c r="K112" s="23"/>
      <c r="L112" s="81"/>
    </row>
    <row r="113">
      <c r="B113" s="82"/>
      <c r="C113" s="83" t="s">
        <v>31</v>
      </c>
      <c r="D113" s="84"/>
      <c r="E113" s="85" t="s">
        <v>32</v>
      </c>
      <c r="F113" s="86" t="s">
        <v>33</v>
      </c>
      <c r="G113" s="87" t="s">
        <v>34</v>
      </c>
      <c r="H113" s="88" t="s">
        <v>35</v>
      </c>
      <c r="I113" s="88" t="s">
        <v>36</v>
      </c>
      <c r="J113" s="88" t="s">
        <v>37</v>
      </c>
      <c r="K113" s="88" t="s">
        <v>38</v>
      </c>
      <c r="L113" s="89" t="s">
        <v>39</v>
      </c>
    </row>
    <row r="114">
      <c r="B114" s="90"/>
      <c r="C114" s="91" t="s">
        <v>19</v>
      </c>
      <c r="D114" s="92"/>
      <c r="E114" s="93">
        <v>1.0</v>
      </c>
      <c r="F114" s="94">
        <v>2.0</v>
      </c>
      <c r="G114" s="95">
        <v>10.0</v>
      </c>
      <c r="H114" s="96"/>
      <c r="I114" s="94"/>
      <c r="J114" s="94"/>
      <c r="K114" s="97"/>
      <c r="L114" s="98"/>
    </row>
    <row r="115">
      <c r="B115" s="99"/>
      <c r="C115" s="100" t="s">
        <v>166</v>
      </c>
      <c r="D115" s="101"/>
      <c r="E115" s="102">
        <v>2.0</v>
      </c>
      <c r="F115" s="103">
        <v>3.0</v>
      </c>
      <c r="G115" s="104">
        <v>10.0</v>
      </c>
      <c r="H115" s="105"/>
      <c r="I115" s="103"/>
      <c r="J115" s="103"/>
      <c r="K115" s="106"/>
      <c r="L115" s="107"/>
    </row>
    <row r="116">
      <c r="B116" s="99"/>
      <c r="C116" s="100" t="s">
        <v>167</v>
      </c>
      <c r="D116" s="101"/>
      <c r="E116" s="102">
        <v>3.0</v>
      </c>
      <c r="F116" s="103">
        <v>3.0</v>
      </c>
      <c r="G116" s="104">
        <v>10.0</v>
      </c>
      <c r="H116" s="105"/>
      <c r="I116" s="103"/>
      <c r="J116" s="103"/>
      <c r="K116" s="103"/>
      <c r="L116" s="107"/>
      <c r="M116" s="75"/>
    </row>
    <row r="117">
      <c r="B117" s="108"/>
      <c r="C117" s="109"/>
      <c r="D117" s="101"/>
      <c r="E117" s="102">
        <v>4.0</v>
      </c>
      <c r="F117" s="103">
        <v>3.0</v>
      </c>
      <c r="G117" s="104">
        <v>10.0</v>
      </c>
      <c r="H117" s="105"/>
      <c r="I117" s="103"/>
      <c r="J117" s="103"/>
      <c r="K117" s="103"/>
      <c r="L117" s="107"/>
      <c r="M117" s="75"/>
    </row>
    <row r="118">
      <c r="B118" s="127"/>
      <c r="C118" s="111" t="str">
        <f>iferror(vlookup(LEFT(C114,LEN(C114)-2)&amp;"*",ExcerciseLookup,3,FALSE),"")</f>
        <v>Video Tutorial</v>
      </c>
      <c r="D118" s="112"/>
      <c r="E118" s="128">
        <v>5.0</v>
      </c>
      <c r="F118" s="129">
        <v>4.0</v>
      </c>
      <c r="G118" s="130">
        <v>10.0</v>
      </c>
      <c r="H118" s="131"/>
      <c r="I118" s="129"/>
      <c r="J118" s="129"/>
      <c r="K118" s="129"/>
      <c r="L118" s="132"/>
      <c r="M118" s="75"/>
    </row>
    <row r="119">
      <c r="B119" s="118"/>
      <c r="C119" s="119" t="s">
        <v>76</v>
      </c>
      <c r="D119" s="120"/>
      <c r="E119" s="121">
        <v>1.0</v>
      </c>
      <c r="F119" s="122">
        <v>2.0</v>
      </c>
      <c r="G119" s="123">
        <f t="shared" ref="G119:G123" si="4">IF(C$119="Bent-Over Barbell Row",15,12)</f>
        <v>12</v>
      </c>
      <c r="H119" s="124"/>
      <c r="I119" s="122"/>
      <c r="J119" s="122"/>
      <c r="K119" s="125"/>
      <c r="L119" s="126"/>
      <c r="M119" s="75"/>
    </row>
    <row r="120">
      <c r="B120" s="99"/>
      <c r="C120" s="100" t="s">
        <v>168</v>
      </c>
      <c r="D120" s="101"/>
      <c r="E120" s="102">
        <v>2.0</v>
      </c>
      <c r="F120" s="103">
        <v>3.0</v>
      </c>
      <c r="G120" s="104">
        <f t="shared" si="4"/>
        <v>12</v>
      </c>
      <c r="H120" s="105"/>
      <c r="I120" s="103"/>
      <c r="J120" s="103"/>
      <c r="K120" s="103"/>
      <c r="L120" s="107"/>
      <c r="M120" s="75"/>
    </row>
    <row r="121">
      <c r="B121" s="99"/>
      <c r="C121" s="100" t="s">
        <v>169</v>
      </c>
      <c r="D121" s="101"/>
      <c r="E121" s="102">
        <v>3.0</v>
      </c>
      <c r="F121" s="103">
        <v>3.0</v>
      </c>
      <c r="G121" s="104">
        <f t="shared" si="4"/>
        <v>12</v>
      </c>
      <c r="H121" s="105"/>
      <c r="I121" s="103"/>
      <c r="J121" s="103"/>
      <c r="K121" s="103"/>
      <c r="L121" s="107"/>
    </row>
    <row r="122">
      <c r="B122" s="108"/>
      <c r="C122" s="100"/>
      <c r="D122" s="101"/>
      <c r="E122" s="102">
        <v>4.0</v>
      </c>
      <c r="F122" s="103">
        <v>3.0</v>
      </c>
      <c r="G122" s="104">
        <f t="shared" si="4"/>
        <v>12</v>
      </c>
      <c r="H122" s="105"/>
      <c r="I122" s="103"/>
      <c r="J122" s="103"/>
      <c r="K122" s="103"/>
      <c r="L122" s="107"/>
    </row>
    <row r="123">
      <c r="B123" s="127"/>
      <c r="C123" s="111" t="str">
        <f>iferror(vlookup(LEFT(C119,LEN(C119)-2)&amp;"*",ExcerciseLookup,3,FALSE),"")</f>
        <v>Video Tutorial</v>
      </c>
      <c r="D123" s="112"/>
      <c r="E123" s="128">
        <v>5.0</v>
      </c>
      <c r="F123" s="129">
        <v>4.0</v>
      </c>
      <c r="G123" s="130">
        <f t="shared" si="4"/>
        <v>12</v>
      </c>
      <c r="H123" s="131"/>
      <c r="I123" s="129"/>
      <c r="J123" s="129"/>
      <c r="K123" s="129"/>
      <c r="L123" s="132"/>
    </row>
    <row r="124" ht="13.5" customHeight="1">
      <c r="B124" s="20" t="s">
        <v>170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80"/>
    </row>
    <row r="125" ht="13.5" customHeight="1">
      <c r="B125" s="22"/>
      <c r="C125" s="23"/>
      <c r="D125" s="23"/>
      <c r="E125" s="23"/>
      <c r="F125" s="23"/>
      <c r="G125" s="23"/>
      <c r="H125" s="23"/>
      <c r="I125" s="23"/>
      <c r="J125" s="23"/>
      <c r="K125" s="23"/>
      <c r="L125" s="81"/>
    </row>
    <row r="126">
      <c r="B126" s="82"/>
      <c r="C126" s="83" t="s">
        <v>31</v>
      </c>
      <c r="D126" s="84"/>
      <c r="E126" s="85" t="s">
        <v>32</v>
      </c>
      <c r="F126" s="86" t="s">
        <v>33</v>
      </c>
      <c r="G126" s="87" t="s">
        <v>34</v>
      </c>
      <c r="H126" s="88" t="s">
        <v>35</v>
      </c>
      <c r="I126" s="88" t="s">
        <v>36</v>
      </c>
      <c r="J126" s="88" t="s">
        <v>37</v>
      </c>
      <c r="K126" s="88" t="s">
        <v>38</v>
      </c>
      <c r="L126" s="89" t="s">
        <v>39</v>
      </c>
    </row>
    <row r="127">
      <c r="B127" s="90"/>
      <c r="C127" s="91" t="s">
        <v>171</v>
      </c>
      <c r="D127" s="92"/>
      <c r="E127" s="93">
        <v>1.0</v>
      </c>
      <c r="F127" s="94">
        <v>2.0</v>
      </c>
      <c r="G127" s="95">
        <v>12.0</v>
      </c>
      <c r="H127" s="96"/>
      <c r="I127" s="94"/>
      <c r="J127" s="94"/>
      <c r="K127" s="97"/>
      <c r="L127" s="98"/>
    </row>
    <row r="128">
      <c r="B128" s="99"/>
      <c r="C128" s="100" t="s">
        <v>172</v>
      </c>
      <c r="D128" s="101"/>
      <c r="E128" s="102">
        <v>2.0</v>
      </c>
      <c r="F128" s="103">
        <v>3.0</v>
      </c>
      <c r="G128" s="104">
        <v>12.0</v>
      </c>
      <c r="H128" s="105"/>
      <c r="I128" s="103"/>
      <c r="J128" s="103"/>
      <c r="K128" s="106"/>
      <c r="L128" s="107"/>
    </row>
    <row r="129">
      <c r="B129" s="99"/>
      <c r="C129" s="100" t="s">
        <v>173</v>
      </c>
      <c r="D129" s="101"/>
      <c r="E129" s="102">
        <v>3.0</v>
      </c>
      <c r="F129" s="103">
        <v>3.0</v>
      </c>
      <c r="G129" s="104">
        <v>12.0</v>
      </c>
      <c r="H129" s="105"/>
      <c r="I129" s="103"/>
      <c r="J129" s="103"/>
      <c r="K129" s="103"/>
      <c r="L129" s="107"/>
    </row>
    <row r="130">
      <c r="B130" s="108"/>
      <c r="C130" s="109"/>
      <c r="D130" s="101"/>
      <c r="E130" s="102">
        <v>4.0</v>
      </c>
      <c r="F130" s="103">
        <v>3.0</v>
      </c>
      <c r="G130" s="104">
        <v>12.0</v>
      </c>
      <c r="H130" s="105"/>
      <c r="I130" s="103"/>
      <c r="J130" s="103"/>
      <c r="K130" s="103"/>
      <c r="L130" s="107"/>
    </row>
    <row r="131">
      <c r="B131" s="127"/>
      <c r="C131" s="111" t="str">
        <f>iferror(vlookup(LEFT(C127,LEN(C127)-2)&amp;"*",ExcerciseLookup,3,FALSE),"")</f>
        <v>Video Tutorial</v>
      </c>
      <c r="D131" s="112"/>
      <c r="E131" s="128">
        <v>5.0</v>
      </c>
      <c r="F131" s="129">
        <v>4.0</v>
      </c>
      <c r="G131" s="130">
        <v>12.0</v>
      </c>
      <c r="H131" s="131"/>
      <c r="I131" s="129"/>
      <c r="J131" s="129"/>
      <c r="K131" s="129"/>
      <c r="L131" s="132"/>
    </row>
    <row r="132">
      <c r="B132" s="118"/>
      <c r="C132" s="119" t="s">
        <v>125</v>
      </c>
      <c r="D132" s="120"/>
      <c r="E132" s="121">
        <v>1.0</v>
      </c>
      <c r="F132" s="122">
        <v>2.0</v>
      </c>
      <c r="G132" s="123">
        <v>10.0</v>
      </c>
      <c r="H132" s="124"/>
      <c r="I132" s="122"/>
      <c r="J132" s="122"/>
      <c r="K132" s="125"/>
      <c r="L132" s="126"/>
    </row>
    <row r="133">
      <c r="B133" s="99"/>
      <c r="C133" s="100" t="s">
        <v>174</v>
      </c>
      <c r="D133" s="101"/>
      <c r="E133" s="102">
        <v>2.0</v>
      </c>
      <c r="F133" s="103">
        <v>3.0</v>
      </c>
      <c r="G133" s="104">
        <v>10.0</v>
      </c>
      <c r="H133" s="105"/>
      <c r="I133" s="103"/>
      <c r="J133" s="103"/>
      <c r="K133" s="103"/>
      <c r="L133" s="107"/>
    </row>
    <row r="134">
      <c r="B134" s="99"/>
      <c r="C134" s="100" t="s">
        <v>175</v>
      </c>
      <c r="D134" s="101"/>
      <c r="E134" s="102">
        <v>3.0</v>
      </c>
      <c r="F134" s="103">
        <v>3.0</v>
      </c>
      <c r="G134" s="104">
        <v>10.0</v>
      </c>
      <c r="H134" s="105"/>
      <c r="I134" s="103"/>
      <c r="J134" s="103"/>
      <c r="K134" s="103"/>
      <c r="L134" s="107"/>
    </row>
    <row r="135">
      <c r="B135" s="108"/>
      <c r="C135" s="100"/>
      <c r="D135" s="101"/>
      <c r="E135" s="102">
        <v>4.0</v>
      </c>
      <c r="F135" s="103">
        <v>3.0</v>
      </c>
      <c r="G135" s="104">
        <v>10.0</v>
      </c>
      <c r="H135" s="105"/>
      <c r="I135" s="103"/>
      <c r="J135" s="103"/>
      <c r="K135" s="103"/>
      <c r="L135" s="107"/>
    </row>
    <row r="136">
      <c r="B136" s="127"/>
      <c r="C136" s="111" t="str">
        <f>iferror(vlookup(LEFT(C132,LEN(C132)-2)&amp;"*",ExcerciseLookup,3,FALSE),"")</f>
        <v>Video Tutorial</v>
      </c>
      <c r="D136" s="112"/>
      <c r="E136" s="128">
        <v>5.0</v>
      </c>
      <c r="F136" s="129">
        <v>4.0</v>
      </c>
      <c r="G136" s="130">
        <v>10.0</v>
      </c>
      <c r="H136" s="131"/>
      <c r="I136" s="129"/>
      <c r="J136" s="129"/>
      <c r="K136" s="129"/>
      <c r="L136" s="132"/>
    </row>
    <row r="137" ht="13.5" customHeight="1">
      <c r="B137" s="20" t="s">
        <v>176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80"/>
    </row>
    <row r="138" ht="13.5" customHeight="1"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81"/>
    </row>
    <row r="139">
      <c r="B139" s="82"/>
      <c r="C139" s="83" t="s">
        <v>31</v>
      </c>
      <c r="D139" s="84"/>
      <c r="E139" s="85" t="s">
        <v>32</v>
      </c>
      <c r="F139" s="86" t="s">
        <v>33</v>
      </c>
      <c r="G139" s="87" t="s">
        <v>34</v>
      </c>
      <c r="H139" s="88" t="s">
        <v>35</v>
      </c>
      <c r="I139" s="88" t="s">
        <v>36</v>
      </c>
      <c r="J139" s="88" t="s">
        <v>37</v>
      </c>
      <c r="K139" s="88" t="s">
        <v>38</v>
      </c>
      <c r="L139" s="89" t="s">
        <v>39</v>
      </c>
    </row>
    <row r="140">
      <c r="B140" s="90"/>
      <c r="C140" s="91" t="s">
        <v>57</v>
      </c>
      <c r="D140" s="92"/>
      <c r="E140" s="93">
        <v>1.0</v>
      </c>
      <c r="F140" s="94">
        <v>2.0</v>
      </c>
      <c r="G140" s="95" t="str">
        <f>IF(C$140="Front Plank","5 Breaths",IF(C$140="Crunches","AMRAP",15))</f>
        <v>5 Breaths</v>
      </c>
      <c r="H140" s="96"/>
      <c r="I140" s="94"/>
      <c r="J140" s="94"/>
      <c r="K140" s="97"/>
      <c r="L140" s="98"/>
    </row>
    <row r="141">
      <c r="B141" s="99"/>
      <c r="C141" s="100" t="s">
        <v>177</v>
      </c>
      <c r="D141" s="101"/>
      <c r="E141" s="102">
        <v>2.0</v>
      </c>
      <c r="F141" s="103">
        <v>2.0</v>
      </c>
      <c r="G141" s="104" t="str">
        <f>IF(C$140="Front Plank","6 Breaths",IF(C$140="Crunches","AMRAP",15))</f>
        <v>6 Breaths</v>
      </c>
      <c r="H141" s="105"/>
      <c r="I141" s="103"/>
      <c r="J141" s="103"/>
      <c r="K141" s="106"/>
      <c r="L141" s="107"/>
    </row>
    <row r="142">
      <c r="B142" s="99"/>
      <c r="C142" s="100" t="str">
        <f>IF(C140="Front Plank", "It's okay if these feel easy", "RIR: 1")</f>
        <v>It's okay if these feel easy</v>
      </c>
      <c r="D142" s="101"/>
      <c r="E142" s="102">
        <v>3.0</v>
      </c>
      <c r="F142" s="103">
        <v>2.0</v>
      </c>
      <c r="G142" s="104" t="str">
        <f>IF(C$140="Front Plank","7 Breaths",IF(C$140="Crunches","AMRAP",15))</f>
        <v>7 Breaths</v>
      </c>
      <c r="H142" s="105"/>
      <c r="I142" s="103"/>
      <c r="J142" s="103"/>
      <c r="K142" s="103"/>
      <c r="L142" s="107"/>
    </row>
    <row r="143">
      <c r="B143" s="108"/>
      <c r="C143" s="109"/>
      <c r="D143" s="101"/>
      <c r="E143" s="102">
        <v>4.0</v>
      </c>
      <c r="F143" s="103">
        <v>2.0</v>
      </c>
      <c r="G143" s="104" t="str">
        <f>IF(C$140="Front Plank","8 Breaths",IF(C$140="Crunches","AMRAP",15))</f>
        <v>8 Breaths</v>
      </c>
      <c r="H143" s="105"/>
      <c r="I143" s="103"/>
      <c r="J143" s="103"/>
      <c r="K143" s="103"/>
      <c r="L143" s="107"/>
    </row>
    <row r="144">
      <c r="B144" s="127"/>
      <c r="C144" s="111" t="str">
        <f>iferror(vlookup(LEFT(C140,LEN(C140)-2)&amp;"*",ExcerciseLookup,3,FALSE),"")</f>
        <v>Video Tutorial</v>
      </c>
      <c r="D144" s="112"/>
      <c r="E144" s="128">
        <v>5.0</v>
      </c>
      <c r="F144" s="129">
        <v>2.0</v>
      </c>
      <c r="G144" s="130" t="str">
        <f>IF(C$140="Front Plank","9 Breaths",IF(C$140="Crunches","AMRAP",15))</f>
        <v>9 Breaths</v>
      </c>
      <c r="H144" s="131"/>
      <c r="I144" s="129"/>
      <c r="J144" s="129"/>
      <c r="K144" s="129"/>
      <c r="L144" s="132"/>
    </row>
    <row r="145">
      <c r="B145" s="118"/>
      <c r="C145" s="119" t="s">
        <v>114</v>
      </c>
      <c r="D145" s="120"/>
      <c r="E145" s="121">
        <v>1.0</v>
      </c>
      <c r="F145" s="122">
        <v>2.0</v>
      </c>
      <c r="G145" s="123" t="str">
        <f t="shared" ref="G145:G149" si="5">IF(C$145="TYIs on Incline Bench","8/Letter","15")</f>
        <v>8/Letter</v>
      </c>
      <c r="H145" s="124"/>
      <c r="I145" s="122"/>
      <c r="J145" s="122"/>
      <c r="K145" s="125"/>
      <c r="L145" s="126"/>
    </row>
    <row r="146">
      <c r="B146" s="99"/>
      <c r="C146" s="100" t="s">
        <v>115</v>
      </c>
      <c r="D146" s="101"/>
      <c r="E146" s="102">
        <v>2.0</v>
      </c>
      <c r="F146" s="103">
        <v>2.0</v>
      </c>
      <c r="G146" s="104" t="str">
        <f t="shared" si="5"/>
        <v>8/Letter</v>
      </c>
      <c r="H146" s="105"/>
      <c r="I146" s="103"/>
      <c r="J146" s="103"/>
      <c r="K146" s="103"/>
      <c r="L146" s="107"/>
    </row>
    <row r="147">
      <c r="B147" s="99"/>
      <c r="C147" s="100" t="s">
        <v>178</v>
      </c>
      <c r="D147" s="101"/>
      <c r="E147" s="102">
        <v>3.0</v>
      </c>
      <c r="F147" s="103">
        <v>2.0</v>
      </c>
      <c r="G147" s="104" t="str">
        <f t="shared" si="5"/>
        <v>8/Letter</v>
      </c>
      <c r="H147" s="105"/>
      <c r="I147" s="103"/>
      <c r="J147" s="103"/>
      <c r="K147" s="103"/>
      <c r="L147" s="107"/>
    </row>
    <row r="148">
      <c r="B148" s="108"/>
      <c r="C148" s="100" t="s">
        <v>179</v>
      </c>
      <c r="D148" s="101"/>
      <c r="E148" s="102">
        <v>4.0</v>
      </c>
      <c r="F148" s="103">
        <v>2.0</v>
      </c>
      <c r="G148" s="104" t="str">
        <f t="shared" si="5"/>
        <v>8/Letter</v>
      </c>
      <c r="H148" s="105"/>
      <c r="I148" s="103"/>
      <c r="J148" s="103"/>
      <c r="K148" s="103"/>
      <c r="L148" s="107"/>
    </row>
    <row r="149">
      <c r="B149" s="127"/>
      <c r="C149" s="111" t="str">
        <f>iferror(vlookup(LEFT(C145,LEN(C145)-2)&amp;"*",ExcerciseLookup,3,FALSE),"")</f>
        <v>Video Tutorial</v>
      </c>
      <c r="D149" s="112"/>
      <c r="E149" s="128">
        <v>5.0</v>
      </c>
      <c r="F149" s="129">
        <v>2.0</v>
      </c>
      <c r="G149" s="130" t="str">
        <f t="shared" si="5"/>
        <v>8/Letter</v>
      </c>
      <c r="H149" s="131"/>
      <c r="I149" s="129"/>
      <c r="J149" s="129"/>
      <c r="K149" s="129"/>
      <c r="L149" s="132"/>
    </row>
    <row r="150">
      <c r="B150" s="118"/>
      <c r="C150" s="119" t="s">
        <v>111</v>
      </c>
      <c r="D150" s="120"/>
      <c r="E150" s="121">
        <v>1.0</v>
      </c>
      <c r="F150" s="122">
        <v>2.0</v>
      </c>
      <c r="G150" s="123" t="str">
        <f t="shared" ref="G150:G154" si="6">IF(C$150="Dumbbell Farmer Carry","40 Steps","15")</f>
        <v>40 Steps</v>
      </c>
      <c r="H150" s="124"/>
      <c r="I150" s="122"/>
      <c r="J150" s="122"/>
      <c r="K150" s="125"/>
      <c r="L150" s="126"/>
    </row>
    <row r="151">
      <c r="B151" s="99"/>
      <c r="C151" s="100" t="s">
        <v>180</v>
      </c>
      <c r="D151" s="101"/>
      <c r="E151" s="102">
        <v>2.0</v>
      </c>
      <c r="F151" s="103">
        <v>2.0</v>
      </c>
      <c r="G151" s="104" t="str">
        <f t="shared" si="6"/>
        <v>40 Steps</v>
      </c>
      <c r="H151" s="105"/>
      <c r="I151" s="103"/>
      <c r="J151" s="103"/>
      <c r="K151" s="103"/>
      <c r="L151" s="107"/>
    </row>
    <row r="152">
      <c r="B152" s="99"/>
      <c r="C152" s="100" t="s">
        <v>181</v>
      </c>
      <c r="D152" s="101"/>
      <c r="E152" s="102">
        <v>3.0</v>
      </c>
      <c r="F152" s="103">
        <v>2.0</v>
      </c>
      <c r="G152" s="104" t="str">
        <f t="shared" si="6"/>
        <v>40 Steps</v>
      </c>
      <c r="H152" s="105"/>
      <c r="I152" s="103"/>
      <c r="J152" s="103"/>
      <c r="K152" s="103"/>
      <c r="L152" s="107"/>
    </row>
    <row r="153">
      <c r="B153" s="108"/>
      <c r="C153" s="100"/>
      <c r="D153" s="101"/>
      <c r="E153" s="102">
        <v>4.0</v>
      </c>
      <c r="F153" s="103">
        <v>2.0</v>
      </c>
      <c r="G153" s="104" t="str">
        <f t="shared" si="6"/>
        <v>40 Steps</v>
      </c>
      <c r="H153" s="105"/>
      <c r="I153" s="103"/>
      <c r="J153" s="103"/>
      <c r="K153" s="103"/>
      <c r="L153" s="107"/>
    </row>
    <row r="154">
      <c r="B154" s="127"/>
      <c r="C154" s="111" t="str">
        <f>iferror(vlookup(LEFT(C150,LEN(C150)-2)&amp;"*",ExcerciseLookup,3,FALSE),"")</f>
        <v>Video Tutorial</v>
      </c>
      <c r="D154" s="112"/>
      <c r="E154" s="128">
        <v>5.0</v>
      </c>
      <c r="F154" s="129">
        <v>2.0</v>
      </c>
      <c r="G154" s="130" t="str">
        <f t="shared" si="6"/>
        <v>40 Steps</v>
      </c>
      <c r="H154" s="131"/>
      <c r="I154" s="129"/>
      <c r="J154" s="129"/>
      <c r="K154" s="129"/>
      <c r="L154" s="132"/>
    </row>
    <row r="155" ht="13.5" customHeight="1">
      <c r="B155" s="20" t="s">
        <v>182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80"/>
    </row>
    <row r="156" ht="13.5" customHeight="1">
      <c r="B156" s="22"/>
      <c r="C156" s="23"/>
      <c r="D156" s="23"/>
      <c r="E156" s="23"/>
      <c r="F156" s="23"/>
      <c r="G156" s="23"/>
      <c r="H156" s="23"/>
      <c r="I156" s="23"/>
      <c r="J156" s="23"/>
      <c r="K156" s="23"/>
      <c r="L156" s="81"/>
    </row>
    <row r="157" ht="16.5" customHeight="1">
      <c r="B157" s="82"/>
      <c r="C157" s="83" t="s">
        <v>31</v>
      </c>
      <c r="D157" s="84"/>
      <c r="E157" s="85" t="s">
        <v>32</v>
      </c>
      <c r="F157" s="86" t="s">
        <v>33</v>
      </c>
      <c r="G157" s="87" t="s">
        <v>34</v>
      </c>
      <c r="H157" s="88" t="s">
        <v>35</v>
      </c>
      <c r="I157" s="88" t="s">
        <v>36</v>
      </c>
      <c r="J157" s="88" t="s">
        <v>37</v>
      </c>
      <c r="K157" s="88" t="s">
        <v>38</v>
      </c>
      <c r="L157" s="89" t="s">
        <v>39</v>
      </c>
    </row>
    <row r="158" ht="16.5" customHeight="1">
      <c r="B158" s="90"/>
      <c r="C158" s="91" t="s">
        <v>93</v>
      </c>
      <c r="D158" s="92"/>
      <c r="E158" s="93">
        <v>1.0</v>
      </c>
      <c r="F158" s="94">
        <v>3.0</v>
      </c>
      <c r="G158" s="95">
        <v>12.0</v>
      </c>
      <c r="H158" s="96"/>
      <c r="I158" s="94"/>
      <c r="J158" s="94"/>
      <c r="K158" s="97"/>
      <c r="L158" s="98"/>
      <c r="M158" s="75"/>
    </row>
    <row r="159" ht="16.5" customHeight="1">
      <c r="B159" s="99"/>
      <c r="C159" s="100" t="s">
        <v>115</v>
      </c>
      <c r="D159" s="101"/>
      <c r="E159" s="102">
        <v>2.0</v>
      </c>
      <c r="F159" s="103">
        <v>3.0</v>
      </c>
      <c r="G159" s="104">
        <v>12.0</v>
      </c>
      <c r="H159" s="105"/>
      <c r="I159" s="103"/>
      <c r="J159" s="103"/>
      <c r="K159" s="106"/>
      <c r="L159" s="107"/>
      <c r="M159" s="75"/>
    </row>
    <row r="160" ht="16.5" customHeight="1">
      <c r="B160" s="99"/>
      <c r="C160" s="100" t="s">
        <v>183</v>
      </c>
      <c r="D160" s="101"/>
      <c r="E160" s="102">
        <v>3.0</v>
      </c>
      <c r="F160" s="103">
        <v>3.0</v>
      </c>
      <c r="G160" s="104">
        <v>12.0</v>
      </c>
      <c r="H160" s="105"/>
      <c r="I160" s="103"/>
      <c r="J160" s="103"/>
      <c r="K160" s="103"/>
      <c r="L160" s="107"/>
      <c r="M160" s="75"/>
    </row>
    <row r="161" ht="16.5" customHeight="1">
      <c r="B161" s="108"/>
      <c r="C161" s="109" t="s">
        <v>184</v>
      </c>
      <c r="D161" s="101"/>
      <c r="E161" s="102">
        <v>4.0</v>
      </c>
      <c r="F161" s="103">
        <v>3.0</v>
      </c>
      <c r="G161" s="104">
        <v>12.0</v>
      </c>
      <c r="H161" s="105"/>
      <c r="I161" s="103"/>
      <c r="J161" s="103"/>
      <c r="K161" s="103"/>
      <c r="L161" s="107"/>
      <c r="M161" s="75"/>
    </row>
    <row r="162" ht="16.5" customHeight="1">
      <c r="B162" s="127"/>
      <c r="C162" s="111" t="str">
        <f>iferror(vlookup(LEFT(C158,LEN(C158)-2)&amp;"*",ExcerciseLookup,3,FALSE),"")</f>
        <v>Video Tutorial</v>
      </c>
      <c r="D162" s="112"/>
      <c r="E162" s="128">
        <v>5.0</v>
      </c>
      <c r="F162" s="129">
        <v>4.0</v>
      </c>
      <c r="G162" s="130">
        <v>12.0</v>
      </c>
      <c r="H162" s="131"/>
      <c r="I162" s="129"/>
      <c r="J162" s="129"/>
      <c r="K162" s="129"/>
      <c r="L162" s="132"/>
      <c r="M162" s="75"/>
    </row>
    <row r="163"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</row>
    <row r="164"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</row>
    <row r="165"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</row>
  </sheetData>
  <mergeCells count="135">
    <mergeCell ref="C3:E4"/>
    <mergeCell ref="B6:L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L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2:L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L51"/>
    <mergeCell ref="C49:D49"/>
    <mergeCell ref="C52:D52"/>
    <mergeCell ref="C53:D53"/>
    <mergeCell ref="C54:D54"/>
    <mergeCell ref="C55:D55"/>
    <mergeCell ref="C56:D56"/>
    <mergeCell ref="C57:D57"/>
    <mergeCell ref="C116:D116"/>
    <mergeCell ref="C117:D117"/>
    <mergeCell ref="C118:D118"/>
    <mergeCell ref="C119:D119"/>
    <mergeCell ref="C120:D120"/>
    <mergeCell ref="C121:D121"/>
    <mergeCell ref="C122:D122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58:D158"/>
    <mergeCell ref="C159:D159"/>
    <mergeCell ref="C160:D160"/>
    <mergeCell ref="C161:D161"/>
    <mergeCell ref="C162:D162"/>
    <mergeCell ref="C149:D149"/>
    <mergeCell ref="C150:D150"/>
    <mergeCell ref="C151:D151"/>
    <mergeCell ref="C152:D152"/>
    <mergeCell ref="C153:D153"/>
    <mergeCell ref="C154:D154"/>
    <mergeCell ref="C157:D157"/>
    <mergeCell ref="C62:E63"/>
    <mergeCell ref="B65:L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B78:L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1:L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8:E109"/>
    <mergeCell ref="B111:L112"/>
    <mergeCell ref="C113:D113"/>
    <mergeCell ref="C114:D114"/>
    <mergeCell ref="C115:D115"/>
    <mergeCell ref="C123:D123"/>
    <mergeCell ref="B124:L125"/>
    <mergeCell ref="B137:L138"/>
    <mergeCell ref="B155:L156"/>
  </mergeCells>
  <conditionalFormatting sqref="H9:L18 H22:L31 H35:L49 H53:L57 H68:L77 H81:L90 H94:L103 H114:L123 H127:L136 H140:L154 H158:L162">
    <cfRule type="expression" dxfId="1" priority="1">
      <formula>if(right(H$8,1)*1&gt;$F9*1,true)</formula>
    </cfRule>
  </conditionalFormatting>
  <conditionalFormatting sqref="I4 I63 I109">
    <cfRule type="containsText" dxfId="2" priority="2" operator="containsText" text="INPUT HERE">
      <formula>NOT(ISERROR(SEARCH(("INPUT HERE"),(I4))))</formula>
    </cfRule>
  </conditionalFormatting>
  <conditionalFormatting sqref="G9:G13 F10:F13 F15:F18 G18 G22:G26 F23:F26 F28:F31 G31 G35:G41 F36:F49 G44:G49 F52:F57 G53:G57 G68:G72 F69:F77 G77 F81:F90 G81:G85 G90 F93:F103 E94:E98 G94:G100 G103 G114:G118 F115:F123 G123 F127:F136 G127:G131 G136 F139:F154 E140:E144 G140:G154 E150:E154 H150:I154 E157:J162">
    <cfRule type="cellIs" dxfId="0" priority="3" operator="equal">
      <formula>"Pending"</formula>
    </cfRule>
  </conditionalFormatting>
  <dataValidations>
    <dataValidation type="list" allowBlank="1" sqref="C35 C140">
      <formula1>"Front Plank,Cable Crunches,Crunches,Weighted Crunches"</formula1>
    </dataValidation>
    <dataValidation type="list" allowBlank="1" showInputMessage="1" prompt="This will be your main bench press variation for the phase." sqref="C27">
      <formula1>"1-Arm Dumbbell Row,Bent-Over Barbell Row,T-Bar Machine Row"</formula1>
    </dataValidation>
    <dataValidation type="list" allowBlank="1" sqref="C99">
      <formula1>"Cable Rope Curls,Dumbbell Hammer Curls,Barbell Biceps Curls"</formula1>
    </dataValidation>
    <dataValidation type="list" allowBlank="1" showInputMessage="1" prompt="If in doubt, choose the variation you can lift the most weight with." sqref="C9">
      <formula1>"Barbell Romanian Deadlift,Dumbbell Romanian Deadlift,Below-the-Knee Rack Pull,"</formula1>
    </dataValidation>
    <dataValidation type="list" allowBlank="1" sqref="C73 C119">
      <formula1>"Underhand Lat Pulldowns,1-Arm Dumbbell Rows,Bent-Over Barbell Row"</formula1>
    </dataValidation>
    <dataValidation type="list" allowBlank="1" showInputMessage="1" prompt="If in doubt, choose the variation you can lift the most weight with." sqref="C22">
      <formula1>"Dumbbell Bench Press,Barbell Bench Press,Machine Chest Press"</formula1>
    </dataValidation>
    <dataValidation type="list" allowBlank="1" sqref="C86 C132">
      <formula1>"Barbell Romanian Deadlift,Dumbbell Romanian Deadlift,"</formula1>
    </dataValidation>
    <dataValidation type="list" allowBlank="1" showInputMessage="1" prompt="If in doubt, choose the variation you can lift the most weight with." sqref="C40">
      <formula1>"Dumbbell Chest Fly,Weight Plate Fly,Machine Fly/Pec Deck,Barbell Biceps Curl"</formula1>
    </dataValidation>
    <dataValidation type="list" allowBlank="1" sqref="C127">
      <formula1>"Neutral-Grip Seated Cable Row,Dumbbell Pullover,Barbell Pullover"</formula1>
    </dataValidation>
    <dataValidation type="list" allowBlank="1" sqref="C68 C114">
      <formula1>"Goblet Squat,Barbell Front Squat,Barbell Back Squat"</formula1>
    </dataValidation>
    <dataValidation type="list" allowBlank="1" sqref="C81">
      <formula1>"Incline Dumbbell Bench Press,Incline Barbell Bench Press,Close-Grip Barbell Bench Press,"</formula1>
    </dataValidation>
    <dataValidation type="list" allowBlank="1" sqref="C145">
      <formula1>"TYIs on Incline Bench,Bent-Over Reverse Fly"</formula1>
    </dataValidation>
    <dataValidation type="list" allowBlank="1" sqref="C150">
      <formula1>"Dumbbell Farmer Carry,Barbell Shrug"</formula1>
    </dataValidation>
    <dataValidation type="list" allowBlank="1" showInputMessage="1" prompt="This will be your main bench press variation for the phase." sqref="C14">
      <formula1>"Push-Ups,Raised Push-Ups,Knee Push-Ups,"</formula1>
    </dataValidation>
    <dataValidation type="list" allowBlank="1" sqref="C45">
      <formula1>"Pit Pulls,Dumbbell Reverse Fly,Weight Plate Reverse Fly,Machine Reverse Fly"</formula1>
    </dataValidation>
    <dataValidation type="list" allowBlank="1" showInputMessage="1" prompt="If in doubt, choose the variation you can lift the most weight with." sqref="C53">
      <formula1>"Overhead Triceps Extensions,Dumbbell Triceps Kickbacks,Barbell Skull Crushers"</formula1>
    </dataValidation>
  </dataValidations>
  <hyperlinks>
    <hyperlink r:id="rId1" ref="K3"/>
    <hyperlink r:id="rId2" ref="K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645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15.75"/>
    <col customWidth="1" min="4" max="4" width="16.38"/>
    <col customWidth="1" min="5" max="13" width="9.5"/>
  </cols>
  <sheetData>
    <row r="1">
      <c r="A1" s="1"/>
    </row>
    <row r="2" ht="15.75" customHeight="1">
      <c r="B2" s="64"/>
      <c r="C2" s="65"/>
      <c r="D2" s="65"/>
      <c r="E2" s="65"/>
      <c r="F2" s="66"/>
      <c r="G2" s="66"/>
      <c r="H2" s="66"/>
      <c r="I2" s="66"/>
      <c r="J2" s="67"/>
      <c r="K2" s="67"/>
      <c r="L2" s="68"/>
    </row>
    <row r="3" ht="15.0" customHeight="1">
      <c r="B3" s="69"/>
      <c r="C3" s="8"/>
      <c r="F3" s="9" t="s">
        <v>185</v>
      </c>
      <c r="G3" s="9"/>
      <c r="H3" s="70" t="s">
        <v>26</v>
      </c>
      <c r="I3" s="71">
        <v>45658.0</v>
      </c>
      <c r="J3" s="71"/>
      <c r="K3" s="11" t="s">
        <v>1</v>
      </c>
      <c r="L3" s="72"/>
    </row>
    <row r="4" ht="15.0" customHeight="1">
      <c r="B4" s="69"/>
      <c r="F4" s="13" t="s">
        <v>27</v>
      </c>
      <c r="G4" s="13"/>
      <c r="H4" s="73" t="s">
        <v>28</v>
      </c>
      <c r="I4" s="74" t="s">
        <v>29</v>
      </c>
      <c r="J4" s="74"/>
      <c r="K4" s="14" t="s">
        <v>3</v>
      </c>
      <c r="L4" s="72"/>
      <c r="M4" s="75"/>
    </row>
    <row r="5">
      <c r="B5" s="69"/>
      <c r="C5" s="7"/>
      <c r="D5" s="7"/>
      <c r="E5" s="7"/>
      <c r="F5" s="76"/>
      <c r="G5" s="76"/>
      <c r="H5" s="76"/>
      <c r="I5" s="76"/>
      <c r="J5" s="77"/>
      <c r="K5" s="77"/>
      <c r="L5" s="78"/>
      <c r="M5" s="79"/>
    </row>
    <row r="6" ht="13.5" customHeight="1">
      <c r="B6" s="20" t="s">
        <v>186</v>
      </c>
      <c r="C6" s="21"/>
      <c r="D6" s="21"/>
      <c r="E6" s="21"/>
      <c r="F6" s="21"/>
      <c r="G6" s="21"/>
      <c r="H6" s="21"/>
      <c r="I6" s="21"/>
      <c r="J6" s="21"/>
      <c r="K6" s="21"/>
      <c r="L6" s="80"/>
    </row>
    <row r="7" ht="13.5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81"/>
    </row>
    <row r="8" ht="16.5" customHeight="1">
      <c r="B8" s="82"/>
      <c r="C8" s="83" t="s">
        <v>31</v>
      </c>
      <c r="D8" s="84"/>
      <c r="E8" s="85" t="s">
        <v>32</v>
      </c>
      <c r="F8" s="86" t="s">
        <v>33</v>
      </c>
      <c r="G8" s="87" t="s">
        <v>34</v>
      </c>
      <c r="H8" s="88" t="s">
        <v>35</v>
      </c>
      <c r="I8" s="88" t="s">
        <v>36</v>
      </c>
      <c r="J8" s="88" t="s">
        <v>37</v>
      </c>
      <c r="K8" s="88" t="s">
        <v>38</v>
      </c>
      <c r="L8" s="89" t="s">
        <v>39</v>
      </c>
    </row>
    <row r="9" ht="16.5" customHeight="1">
      <c r="B9" s="90"/>
      <c r="C9" s="91" t="s">
        <v>187</v>
      </c>
      <c r="D9" s="92"/>
      <c r="E9" s="93">
        <v>1.0</v>
      </c>
      <c r="F9" s="94">
        <v>2.0</v>
      </c>
      <c r="G9" s="95">
        <v>8.0</v>
      </c>
      <c r="H9" s="96"/>
      <c r="I9" s="94"/>
      <c r="J9" s="94"/>
      <c r="K9" s="97"/>
      <c r="L9" s="98"/>
      <c r="M9" s="75"/>
    </row>
    <row r="10" ht="16.5" customHeight="1">
      <c r="B10" s="99"/>
      <c r="C10" s="100" t="s">
        <v>188</v>
      </c>
      <c r="D10" s="101"/>
      <c r="E10" s="102">
        <v>2.0</v>
      </c>
      <c r="F10" s="103">
        <v>3.0</v>
      </c>
      <c r="G10" s="104">
        <v>8.0</v>
      </c>
      <c r="H10" s="105"/>
      <c r="I10" s="103"/>
      <c r="J10" s="103"/>
      <c r="K10" s="106"/>
      <c r="L10" s="107"/>
      <c r="M10" s="75"/>
    </row>
    <row r="11" ht="16.5" customHeight="1">
      <c r="B11" s="99"/>
      <c r="C11" s="100" t="s">
        <v>189</v>
      </c>
      <c r="D11" s="101"/>
      <c r="E11" s="102">
        <v>3.0</v>
      </c>
      <c r="F11" s="103">
        <v>3.0</v>
      </c>
      <c r="G11" s="104">
        <v>8.0</v>
      </c>
      <c r="H11" s="105"/>
      <c r="I11" s="103"/>
      <c r="J11" s="103"/>
      <c r="K11" s="103"/>
      <c r="L11" s="107"/>
      <c r="M11" s="75"/>
    </row>
    <row r="12" ht="16.5" customHeight="1">
      <c r="B12" s="108"/>
      <c r="C12" s="109"/>
      <c r="D12" s="101"/>
      <c r="E12" s="102">
        <v>4.0</v>
      </c>
      <c r="F12" s="103">
        <v>4.0</v>
      </c>
      <c r="G12" s="104">
        <v>8.0</v>
      </c>
      <c r="H12" s="105"/>
      <c r="I12" s="103"/>
      <c r="J12" s="103"/>
      <c r="K12" s="103"/>
      <c r="L12" s="107"/>
      <c r="M12" s="75"/>
    </row>
    <row r="13" ht="16.5" customHeight="1">
      <c r="B13" s="127"/>
      <c r="C13" s="111" t="str">
        <f>iferror(vlookup(LEFT(C9,LEN(C9)-2)&amp;"*",ExcerciseLookup,3,FALSE),"")</f>
        <v>Video Tutorial</v>
      </c>
      <c r="D13" s="112"/>
      <c r="E13" s="128">
        <v>5.0</v>
      </c>
      <c r="F13" s="129">
        <v>4.0</v>
      </c>
      <c r="G13" s="130">
        <v>8.0</v>
      </c>
      <c r="H13" s="131"/>
      <c r="I13" s="129"/>
      <c r="J13" s="129"/>
      <c r="K13" s="129"/>
      <c r="L13" s="132"/>
      <c r="M13" s="75"/>
    </row>
    <row r="14" ht="16.5" customHeight="1">
      <c r="B14" s="118"/>
      <c r="C14" s="119" t="s">
        <v>190</v>
      </c>
      <c r="D14" s="120"/>
      <c r="E14" s="121">
        <v>1.0</v>
      </c>
      <c r="F14" s="122">
        <v>2.0</v>
      </c>
      <c r="G14" s="123">
        <v>10.0</v>
      </c>
      <c r="H14" s="124"/>
      <c r="I14" s="122"/>
      <c r="J14" s="122"/>
      <c r="K14" s="125"/>
      <c r="L14" s="126"/>
      <c r="M14" s="75"/>
    </row>
    <row r="15" ht="16.5" customHeight="1">
      <c r="B15" s="99"/>
      <c r="C15" s="100" t="s">
        <v>191</v>
      </c>
      <c r="D15" s="101"/>
      <c r="E15" s="102">
        <v>2.0</v>
      </c>
      <c r="F15" s="103">
        <v>3.0</v>
      </c>
      <c r="G15" s="104">
        <v>10.0</v>
      </c>
      <c r="H15" s="105"/>
      <c r="I15" s="103"/>
      <c r="J15" s="103"/>
      <c r="K15" s="103"/>
      <c r="L15" s="107"/>
      <c r="M15" s="75"/>
    </row>
    <row r="16" ht="16.5" customHeight="1">
      <c r="B16" s="99"/>
      <c r="C16" s="100" t="s">
        <v>192</v>
      </c>
      <c r="D16" s="101"/>
      <c r="E16" s="102">
        <v>3.0</v>
      </c>
      <c r="F16" s="103">
        <v>3.0</v>
      </c>
      <c r="G16" s="104">
        <v>10.0</v>
      </c>
      <c r="H16" s="105"/>
      <c r="I16" s="103"/>
      <c r="J16" s="103"/>
      <c r="K16" s="103"/>
      <c r="L16" s="107"/>
      <c r="M16" s="75"/>
    </row>
    <row r="17" ht="16.5" customHeight="1">
      <c r="B17" s="108"/>
      <c r="C17" s="100"/>
      <c r="D17" s="101"/>
      <c r="E17" s="102">
        <v>4.0</v>
      </c>
      <c r="F17" s="103">
        <v>4.0</v>
      </c>
      <c r="G17" s="104">
        <v>10.0</v>
      </c>
      <c r="H17" s="105"/>
      <c r="I17" s="103"/>
      <c r="J17" s="103"/>
      <c r="K17" s="103"/>
      <c r="L17" s="107"/>
      <c r="M17" s="75"/>
    </row>
    <row r="18" ht="16.5" customHeight="1">
      <c r="B18" s="127"/>
      <c r="C18" s="111" t="str">
        <f>iferror(vlookup(LEFT(C14,LEN(C14)-2)&amp;"*",ExcerciseLookup,3,FALSE),"")</f>
        <v>Video Tutorial</v>
      </c>
      <c r="D18" s="112"/>
      <c r="E18" s="128">
        <v>5.0</v>
      </c>
      <c r="F18" s="129">
        <v>5.0</v>
      </c>
      <c r="G18" s="130">
        <v>10.0</v>
      </c>
      <c r="H18" s="131"/>
      <c r="I18" s="129"/>
      <c r="J18" s="129"/>
      <c r="K18" s="129"/>
      <c r="L18" s="132"/>
      <c r="M18" s="75"/>
    </row>
    <row r="19" ht="13.5" customHeight="1">
      <c r="B19" s="20" t="s">
        <v>193</v>
      </c>
      <c r="C19" s="21"/>
      <c r="D19" s="21"/>
      <c r="E19" s="21"/>
      <c r="F19" s="21"/>
      <c r="G19" s="21"/>
      <c r="H19" s="21"/>
      <c r="I19" s="21"/>
      <c r="J19" s="21"/>
      <c r="K19" s="21"/>
      <c r="L19" s="80"/>
    </row>
    <row r="20" ht="13.5" customHeight="1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81"/>
    </row>
    <row r="21" ht="16.5" customHeight="1">
      <c r="B21" s="82"/>
      <c r="C21" s="83" t="s">
        <v>31</v>
      </c>
      <c r="D21" s="84"/>
      <c r="E21" s="85" t="s">
        <v>32</v>
      </c>
      <c r="F21" s="86" t="s">
        <v>33</v>
      </c>
      <c r="G21" s="87" t="s">
        <v>34</v>
      </c>
      <c r="H21" s="88" t="s">
        <v>35</v>
      </c>
      <c r="I21" s="88" t="s">
        <v>36</v>
      </c>
      <c r="J21" s="88" t="s">
        <v>37</v>
      </c>
      <c r="K21" s="88" t="s">
        <v>38</v>
      </c>
      <c r="L21" s="89" t="s">
        <v>39</v>
      </c>
    </row>
    <row r="22" ht="16.5" customHeight="1">
      <c r="B22" s="90"/>
      <c r="C22" s="91" t="s">
        <v>47</v>
      </c>
      <c r="D22" s="92"/>
      <c r="E22" s="93">
        <v>1.0</v>
      </c>
      <c r="F22" s="94">
        <v>2.0</v>
      </c>
      <c r="G22" s="95">
        <v>10.0</v>
      </c>
      <c r="H22" s="96"/>
      <c r="I22" s="94"/>
      <c r="J22" s="94"/>
      <c r="K22" s="97"/>
      <c r="L22" s="98"/>
      <c r="M22" s="75"/>
    </row>
    <row r="23" ht="16.5" customHeight="1">
      <c r="B23" s="99"/>
      <c r="C23" s="100" t="s">
        <v>194</v>
      </c>
      <c r="D23" s="101"/>
      <c r="E23" s="102">
        <v>2.0</v>
      </c>
      <c r="F23" s="103">
        <v>3.0</v>
      </c>
      <c r="G23" s="104">
        <v>10.0</v>
      </c>
      <c r="H23" s="105"/>
      <c r="I23" s="103"/>
      <c r="J23" s="103"/>
      <c r="K23" s="106"/>
      <c r="L23" s="107"/>
      <c r="M23" s="75"/>
    </row>
    <row r="24" ht="16.5" customHeight="1">
      <c r="B24" s="99"/>
      <c r="C24" s="100" t="s">
        <v>195</v>
      </c>
      <c r="D24" s="101"/>
      <c r="E24" s="102">
        <v>3.0</v>
      </c>
      <c r="F24" s="103">
        <v>3.0</v>
      </c>
      <c r="G24" s="104">
        <v>10.0</v>
      </c>
      <c r="H24" s="105"/>
      <c r="I24" s="103"/>
      <c r="J24" s="103"/>
      <c r="K24" s="103"/>
      <c r="L24" s="107"/>
      <c r="M24" s="75"/>
    </row>
    <row r="25" ht="16.5" customHeight="1">
      <c r="B25" s="108"/>
      <c r="C25" s="109"/>
      <c r="D25" s="101"/>
      <c r="E25" s="102">
        <v>4.0</v>
      </c>
      <c r="F25" s="103">
        <v>3.0</v>
      </c>
      <c r="G25" s="104">
        <v>10.0</v>
      </c>
      <c r="H25" s="105"/>
      <c r="I25" s="103"/>
      <c r="J25" s="103"/>
      <c r="K25" s="103"/>
      <c r="L25" s="107"/>
      <c r="M25" s="75"/>
    </row>
    <row r="26" ht="16.5" customHeight="1">
      <c r="B26" s="127"/>
      <c r="C26" s="111" t="str">
        <f>iferror(vlookup(LEFT(C22,LEN(C22)-2)&amp;"*",ExcerciseLookup,3,FALSE),"")</f>
        <v>Video Tutorial</v>
      </c>
      <c r="D26" s="112"/>
      <c r="E26" s="128">
        <v>5.0</v>
      </c>
      <c r="F26" s="129">
        <v>4.0</v>
      </c>
      <c r="G26" s="130">
        <v>10.0</v>
      </c>
      <c r="H26" s="131"/>
      <c r="I26" s="129"/>
      <c r="J26" s="129"/>
      <c r="K26" s="129"/>
      <c r="L26" s="132"/>
      <c r="M26" s="75"/>
    </row>
    <row r="27" ht="16.5" customHeight="1">
      <c r="B27" s="118"/>
      <c r="C27" s="119" t="s">
        <v>50</v>
      </c>
      <c r="D27" s="120"/>
      <c r="E27" s="121">
        <v>1.0</v>
      </c>
      <c r="F27" s="122">
        <v>2.0</v>
      </c>
      <c r="G27" s="123">
        <f t="shared" ref="G27:G31" si="1">IF(C$27="Bent-Over Barbell Row",12,8)</f>
        <v>8</v>
      </c>
      <c r="H27" s="124"/>
      <c r="I27" s="122"/>
      <c r="J27" s="122"/>
      <c r="K27" s="125"/>
      <c r="L27" s="126"/>
      <c r="M27" s="75"/>
    </row>
    <row r="28" ht="16.5" customHeight="1">
      <c r="B28" s="99"/>
      <c r="C28" s="100" t="s">
        <v>196</v>
      </c>
      <c r="D28" s="101"/>
      <c r="E28" s="102">
        <v>2.0</v>
      </c>
      <c r="F28" s="103">
        <v>3.0</v>
      </c>
      <c r="G28" s="104">
        <f t="shared" si="1"/>
        <v>8</v>
      </c>
      <c r="H28" s="105"/>
      <c r="I28" s="103"/>
      <c r="J28" s="103"/>
      <c r="K28" s="103"/>
      <c r="L28" s="107"/>
      <c r="M28" s="75"/>
    </row>
    <row r="29" ht="16.5" customHeight="1">
      <c r="B29" s="99"/>
      <c r="C29" s="100" t="s">
        <v>197</v>
      </c>
      <c r="D29" s="101"/>
      <c r="E29" s="102">
        <v>3.0</v>
      </c>
      <c r="F29" s="103">
        <v>3.0</v>
      </c>
      <c r="G29" s="104">
        <f t="shared" si="1"/>
        <v>8</v>
      </c>
      <c r="H29" s="105"/>
      <c r="I29" s="103"/>
      <c r="J29" s="103"/>
      <c r="K29" s="103"/>
      <c r="L29" s="107"/>
      <c r="M29" s="75"/>
    </row>
    <row r="30" ht="16.5" customHeight="1">
      <c r="B30" s="108"/>
      <c r="C30" s="100"/>
      <c r="D30" s="101"/>
      <c r="E30" s="102">
        <v>4.0</v>
      </c>
      <c r="F30" s="103">
        <v>3.0</v>
      </c>
      <c r="G30" s="104">
        <f t="shared" si="1"/>
        <v>8</v>
      </c>
      <c r="H30" s="105"/>
      <c r="I30" s="103"/>
      <c r="J30" s="103"/>
      <c r="K30" s="103"/>
      <c r="L30" s="107"/>
      <c r="M30" s="75"/>
    </row>
    <row r="31" ht="16.5" customHeight="1">
      <c r="B31" s="127"/>
      <c r="C31" s="111" t="str">
        <f>iferror(vlookup(LEFT(C27,LEN(C27)-2)&amp;"*",ExcerciseLookup,3,FALSE),"")</f>
        <v>Video Tutorial</v>
      </c>
      <c r="D31" s="112"/>
      <c r="E31" s="128">
        <v>5.0</v>
      </c>
      <c r="F31" s="129">
        <v>4.0</v>
      </c>
      <c r="G31" s="130">
        <f t="shared" si="1"/>
        <v>8</v>
      </c>
      <c r="H31" s="131"/>
      <c r="I31" s="129"/>
      <c r="J31" s="129"/>
      <c r="K31" s="129"/>
      <c r="L31" s="132"/>
      <c r="M31" s="75"/>
    </row>
    <row r="32" ht="13.5" customHeight="1">
      <c r="B32" s="20" t="s">
        <v>198</v>
      </c>
      <c r="C32" s="21"/>
      <c r="D32" s="21"/>
      <c r="E32" s="21"/>
      <c r="F32" s="21"/>
      <c r="G32" s="21"/>
      <c r="H32" s="21"/>
      <c r="I32" s="21"/>
      <c r="J32" s="21"/>
      <c r="K32" s="21"/>
      <c r="L32" s="80"/>
    </row>
    <row r="33" ht="13.5" customHeigh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81"/>
    </row>
    <row r="34" ht="16.5" customHeight="1">
      <c r="B34" s="82"/>
      <c r="C34" s="83" t="s">
        <v>31</v>
      </c>
      <c r="D34" s="84"/>
      <c r="E34" s="85" t="s">
        <v>32</v>
      </c>
      <c r="F34" s="86" t="s">
        <v>33</v>
      </c>
      <c r="G34" s="87" t="s">
        <v>34</v>
      </c>
      <c r="H34" s="88" t="s">
        <v>35</v>
      </c>
      <c r="I34" s="88" t="s">
        <v>36</v>
      </c>
      <c r="J34" s="88" t="s">
        <v>37</v>
      </c>
      <c r="K34" s="88" t="s">
        <v>38</v>
      </c>
      <c r="L34" s="89" t="s">
        <v>39</v>
      </c>
    </row>
    <row r="35" ht="16.5" customHeight="1">
      <c r="B35" s="90"/>
      <c r="C35" s="91" t="s">
        <v>199</v>
      </c>
      <c r="D35" s="92"/>
      <c r="E35" s="93">
        <v>1.0</v>
      </c>
      <c r="F35" s="94">
        <v>2.0</v>
      </c>
      <c r="G35" s="95" t="str">
        <f t="shared" ref="G35:G39" si="2">IF(C$35="Offset Goblet Squat","5/Side","10")</f>
        <v>5/Side</v>
      </c>
      <c r="H35" s="96"/>
      <c r="I35" s="94"/>
      <c r="J35" s="94"/>
      <c r="K35" s="97"/>
      <c r="L35" s="98"/>
      <c r="M35" s="75"/>
    </row>
    <row r="36" ht="16.5" customHeight="1">
      <c r="B36" s="99"/>
      <c r="C36" s="100" t="s">
        <v>200</v>
      </c>
      <c r="D36" s="101"/>
      <c r="E36" s="102">
        <v>2.0</v>
      </c>
      <c r="F36" s="103">
        <v>2.0</v>
      </c>
      <c r="G36" s="104" t="str">
        <f t="shared" si="2"/>
        <v>5/Side</v>
      </c>
      <c r="H36" s="105"/>
      <c r="I36" s="103"/>
      <c r="J36" s="103"/>
      <c r="K36" s="106"/>
      <c r="L36" s="107"/>
      <c r="M36" s="75"/>
    </row>
    <row r="37" ht="16.5" customHeight="1">
      <c r="B37" s="99"/>
      <c r="C37" s="100" t="s">
        <v>201</v>
      </c>
      <c r="D37" s="101"/>
      <c r="E37" s="102">
        <v>3.0</v>
      </c>
      <c r="F37" s="103">
        <v>3.0</v>
      </c>
      <c r="G37" s="104" t="str">
        <f t="shared" si="2"/>
        <v>5/Side</v>
      </c>
      <c r="H37" s="105"/>
      <c r="I37" s="103"/>
      <c r="J37" s="103"/>
      <c r="K37" s="103"/>
      <c r="L37" s="107"/>
      <c r="M37" s="75"/>
    </row>
    <row r="38" ht="16.5" customHeight="1">
      <c r="B38" s="108"/>
      <c r="C38" s="109"/>
      <c r="D38" s="101"/>
      <c r="E38" s="102">
        <v>4.0</v>
      </c>
      <c r="F38" s="103">
        <v>3.0</v>
      </c>
      <c r="G38" s="104" t="str">
        <f t="shared" si="2"/>
        <v>5/Side</v>
      </c>
      <c r="H38" s="105"/>
      <c r="I38" s="103"/>
      <c r="J38" s="103"/>
      <c r="K38" s="103"/>
      <c r="L38" s="107"/>
      <c r="M38" s="75"/>
    </row>
    <row r="39" ht="16.5" customHeight="1">
      <c r="B39" s="127"/>
      <c r="C39" s="111" t="str">
        <f>iferror(vlookup(LEFT(C35,LEN(C35)-2)&amp;"*",ExcerciseLookup,3,FALSE),"")</f>
        <v>Video Tutorial</v>
      </c>
      <c r="D39" s="112"/>
      <c r="E39" s="128">
        <v>5.0</v>
      </c>
      <c r="F39" s="129">
        <v>3.0</v>
      </c>
      <c r="G39" s="130" t="str">
        <f t="shared" si="2"/>
        <v>5/Side</v>
      </c>
      <c r="H39" s="131"/>
      <c r="I39" s="129"/>
      <c r="J39" s="129"/>
      <c r="K39" s="129"/>
      <c r="L39" s="132"/>
      <c r="M39" s="75"/>
    </row>
    <row r="40" ht="16.5" customHeight="1">
      <c r="B40" s="118"/>
      <c r="C40" s="119" t="s">
        <v>22</v>
      </c>
      <c r="D40" s="120"/>
      <c r="E40" s="121">
        <v>1.0</v>
      </c>
      <c r="F40" s="122">
        <v>2.0</v>
      </c>
      <c r="G40" s="123" t="s">
        <v>42</v>
      </c>
      <c r="H40" s="124"/>
      <c r="I40" s="122"/>
      <c r="J40" s="122"/>
      <c r="K40" s="125"/>
      <c r="L40" s="126"/>
      <c r="M40" s="75"/>
    </row>
    <row r="41" ht="16.5" customHeight="1">
      <c r="B41" s="99"/>
      <c r="C41" s="100" t="s">
        <v>202</v>
      </c>
      <c r="D41" s="101"/>
      <c r="E41" s="102">
        <v>2.0</v>
      </c>
      <c r="F41" s="103">
        <v>2.0</v>
      </c>
      <c r="G41" s="104" t="s">
        <v>42</v>
      </c>
      <c r="H41" s="105"/>
      <c r="I41" s="103"/>
      <c r="J41" s="103"/>
      <c r="K41" s="103"/>
      <c r="L41" s="107"/>
      <c r="M41" s="75"/>
    </row>
    <row r="42" ht="16.5" customHeight="1">
      <c r="B42" s="99"/>
      <c r="C42" s="100" t="s">
        <v>203</v>
      </c>
      <c r="D42" s="101"/>
      <c r="E42" s="102">
        <v>3.0</v>
      </c>
      <c r="F42" s="103">
        <v>3.0</v>
      </c>
      <c r="G42" s="104" t="s">
        <v>42</v>
      </c>
      <c r="H42" s="105"/>
      <c r="I42" s="103"/>
      <c r="J42" s="103"/>
      <c r="K42" s="103"/>
      <c r="L42" s="107"/>
      <c r="M42" s="75"/>
    </row>
    <row r="43" ht="16.5" customHeight="1">
      <c r="B43" s="108"/>
      <c r="C43" s="100"/>
      <c r="D43" s="101"/>
      <c r="E43" s="102">
        <v>4.0</v>
      </c>
      <c r="F43" s="103">
        <v>3.0</v>
      </c>
      <c r="G43" s="104" t="s">
        <v>42</v>
      </c>
      <c r="H43" s="105"/>
      <c r="I43" s="103"/>
      <c r="J43" s="103"/>
      <c r="K43" s="103"/>
      <c r="L43" s="107"/>
      <c r="M43" s="75"/>
    </row>
    <row r="44" ht="16.5" customHeight="1">
      <c r="B44" s="127"/>
      <c r="C44" s="111" t="str">
        <f>iferror(vlookup(LEFT(C40,LEN(C40)-2)&amp;"*",ExcerciseLookup,3,FALSE),"")</f>
        <v>Video Tutorial</v>
      </c>
      <c r="D44" s="112"/>
      <c r="E44" s="128">
        <v>5.0</v>
      </c>
      <c r="F44" s="129">
        <v>3.0</v>
      </c>
      <c r="G44" s="130" t="s">
        <v>42</v>
      </c>
      <c r="H44" s="131"/>
      <c r="I44" s="129"/>
      <c r="J44" s="129"/>
      <c r="K44" s="129"/>
      <c r="L44" s="132"/>
      <c r="M44" s="75"/>
    </row>
    <row r="45" ht="16.5" customHeight="1">
      <c r="B45" s="118"/>
      <c r="C45" s="119" t="s">
        <v>204</v>
      </c>
      <c r="D45" s="120"/>
      <c r="E45" s="121">
        <v>1.0</v>
      </c>
      <c r="F45" s="122">
        <v>2.0</v>
      </c>
      <c r="G45" s="123" t="str">
        <f t="shared" ref="G45:G46" si="3">IF(C$45="TYIs on Flat Bench","6/Letter","15")</f>
        <v>6/Letter</v>
      </c>
      <c r="H45" s="124"/>
      <c r="I45" s="122"/>
      <c r="J45" s="122"/>
      <c r="K45" s="125"/>
      <c r="L45" s="126"/>
      <c r="M45" s="75"/>
    </row>
    <row r="46" ht="16.5" customHeight="1">
      <c r="B46" s="99"/>
      <c r="C46" s="100" t="s">
        <v>205</v>
      </c>
      <c r="D46" s="101"/>
      <c r="E46" s="102">
        <v>2.0</v>
      </c>
      <c r="F46" s="103">
        <v>2.0</v>
      </c>
      <c r="G46" s="104" t="str">
        <f t="shared" si="3"/>
        <v>6/Letter</v>
      </c>
      <c r="H46" s="105"/>
      <c r="I46" s="103"/>
      <c r="J46" s="103"/>
      <c r="K46" s="103"/>
      <c r="L46" s="107"/>
      <c r="M46" s="75"/>
    </row>
    <row r="47" ht="16.5" customHeight="1">
      <c r="B47" s="99"/>
      <c r="C47" s="100" t="s">
        <v>206</v>
      </c>
      <c r="D47" s="101"/>
      <c r="E47" s="102">
        <v>3.0</v>
      </c>
      <c r="F47" s="103">
        <v>2.0</v>
      </c>
      <c r="G47" s="104" t="str">
        <f t="shared" ref="G47:G49" si="4">IF(C$45="TYIs on Flat Bench","8/Letter","15")</f>
        <v>8/Letter</v>
      </c>
      <c r="H47" s="105"/>
      <c r="I47" s="103"/>
      <c r="J47" s="103"/>
      <c r="K47" s="103"/>
      <c r="L47" s="107"/>
      <c r="M47" s="75"/>
    </row>
    <row r="48" ht="16.5" customHeight="1">
      <c r="B48" s="108"/>
      <c r="C48" s="100"/>
      <c r="D48" s="101"/>
      <c r="E48" s="102">
        <v>4.0</v>
      </c>
      <c r="F48" s="103">
        <v>2.0</v>
      </c>
      <c r="G48" s="104" t="str">
        <f t="shared" si="4"/>
        <v>8/Letter</v>
      </c>
      <c r="H48" s="105"/>
      <c r="I48" s="103"/>
      <c r="J48" s="103"/>
      <c r="K48" s="103"/>
      <c r="L48" s="107"/>
      <c r="M48" s="75"/>
    </row>
    <row r="49" ht="16.5" customHeight="1">
      <c r="B49" s="127"/>
      <c r="C49" s="111" t="str">
        <f>iferror(vlookup(LEFT(C45,LEN(C45)-2)&amp;"*",ExcerciseLookup,3,FALSE),"")</f>
        <v>Video Tutorial</v>
      </c>
      <c r="D49" s="112"/>
      <c r="E49" s="128">
        <v>5.0</v>
      </c>
      <c r="F49" s="129">
        <v>2.0</v>
      </c>
      <c r="G49" s="130" t="str">
        <f t="shared" si="4"/>
        <v>8/Letter</v>
      </c>
      <c r="H49" s="131"/>
      <c r="I49" s="129"/>
      <c r="J49" s="129"/>
      <c r="K49" s="129"/>
      <c r="L49" s="132"/>
      <c r="M49" s="75"/>
    </row>
    <row r="50" ht="13.5" customHeight="1">
      <c r="B50" s="20" t="s">
        <v>207</v>
      </c>
      <c r="C50" s="21"/>
      <c r="D50" s="21"/>
      <c r="E50" s="21"/>
      <c r="F50" s="21"/>
      <c r="G50" s="21"/>
      <c r="H50" s="21"/>
      <c r="I50" s="21"/>
      <c r="J50" s="21"/>
      <c r="K50" s="21"/>
      <c r="L50" s="80"/>
    </row>
    <row r="51" ht="13.5" customHeight="1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81"/>
    </row>
    <row r="52" ht="16.5" customHeight="1">
      <c r="B52" s="82"/>
      <c r="C52" s="83" t="s">
        <v>31</v>
      </c>
      <c r="D52" s="84"/>
      <c r="E52" s="85" t="s">
        <v>32</v>
      </c>
      <c r="F52" s="86" t="s">
        <v>33</v>
      </c>
      <c r="G52" s="87" t="s">
        <v>34</v>
      </c>
      <c r="H52" s="88" t="s">
        <v>35</v>
      </c>
      <c r="I52" s="88" t="s">
        <v>36</v>
      </c>
      <c r="J52" s="88" t="s">
        <v>37</v>
      </c>
      <c r="K52" s="88" t="s">
        <v>38</v>
      </c>
      <c r="L52" s="89" t="s">
        <v>39</v>
      </c>
    </row>
    <row r="53" ht="16.5" customHeight="1">
      <c r="B53" s="90"/>
      <c r="C53" s="91" t="s">
        <v>208</v>
      </c>
      <c r="D53" s="92"/>
      <c r="E53" s="93">
        <v>1.0</v>
      </c>
      <c r="F53" s="94">
        <v>2.0</v>
      </c>
      <c r="G53" s="95" t="s">
        <v>42</v>
      </c>
      <c r="H53" s="96"/>
      <c r="I53" s="94"/>
      <c r="J53" s="94"/>
      <c r="K53" s="97"/>
      <c r="L53" s="98"/>
      <c r="M53" s="75"/>
    </row>
    <row r="54" ht="16.5" customHeight="1">
      <c r="B54" s="99"/>
      <c r="C54" s="100" t="s">
        <v>209</v>
      </c>
      <c r="D54" s="101"/>
      <c r="E54" s="102">
        <v>2.0</v>
      </c>
      <c r="F54" s="103">
        <v>2.0</v>
      </c>
      <c r="G54" s="104" t="s">
        <v>42</v>
      </c>
      <c r="H54" s="105"/>
      <c r="I54" s="103"/>
      <c r="J54" s="103"/>
      <c r="K54" s="106"/>
      <c r="L54" s="107"/>
      <c r="M54" s="75"/>
    </row>
    <row r="55" ht="16.5" customHeight="1">
      <c r="B55" s="99"/>
      <c r="C55" s="100" t="s">
        <v>210</v>
      </c>
      <c r="D55" s="101"/>
      <c r="E55" s="102">
        <v>3.0</v>
      </c>
      <c r="F55" s="103">
        <v>3.0</v>
      </c>
      <c r="G55" s="104" t="s">
        <v>42</v>
      </c>
      <c r="H55" s="105"/>
      <c r="I55" s="103"/>
      <c r="J55" s="103"/>
      <c r="K55" s="103"/>
      <c r="L55" s="107"/>
      <c r="M55" s="75"/>
    </row>
    <row r="56" ht="16.5" customHeight="1">
      <c r="B56" s="108"/>
      <c r="C56" s="109"/>
      <c r="D56" s="101"/>
      <c r="E56" s="102">
        <v>4.0</v>
      </c>
      <c r="F56" s="103">
        <v>3.0</v>
      </c>
      <c r="G56" s="104" t="s">
        <v>42</v>
      </c>
      <c r="H56" s="105"/>
      <c r="I56" s="103"/>
      <c r="J56" s="103"/>
      <c r="K56" s="103"/>
      <c r="L56" s="107"/>
      <c r="M56" s="75"/>
    </row>
    <row r="57" ht="16.5" customHeight="1">
      <c r="B57" s="127"/>
      <c r="C57" s="111" t="str">
        <f>iferror(vlookup(LEFT(C53,LEN(C53)-2)&amp;"*",ExcerciseLookup,3,FALSE),"")</f>
        <v>Video Tutorial</v>
      </c>
      <c r="D57" s="112"/>
      <c r="E57" s="128">
        <v>5.0</v>
      </c>
      <c r="F57" s="129">
        <v>3.0</v>
      </c>
      <c r="G57" s="130" t="s">
        <v>42</v>
      </c>
      <c r="H57" s="131"/>
      <c r="I57" s="129"/>
      <c r="J57" s="129"/>
      <c r="K57" s="129"/>
      <c r="L57" s="132"/>
      <c r="M57" s="75"/>
    </row>
    <row r="58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</row>
    <row r="59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</row>
    <row r="60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</row>
    <row r="61" ht="15.75" customHeight="1">
      <c r="B61" s="64"/>
      <c r="C61" s="65"/>
      <c r="D61" s="65"/>
      <c r="E61" s="65"/>
      <c r="F61" s="66"/>
      <c r="G61" s="66"/>
      <c r="H61" s="66"/>
      <c r="I61" s="66"/>
      <c r="J61" s="67"/>
      <c r="K61" s="67"/>
      <c r="L61" s="68"/>
    </row>
    <row r="62" ht="15.0" customHeight="1">
      <c r="B62" s="69"/>
      <c r="C62" s="8"/>
      <c r="F62" s="9" t="s">
        <v>211</v>
      </c>
      <c r="G62" s="9"/>
      <c r="H62" s="70"/>
      <c r="I62" s="71"/>
      <c r="J62" s="71"/>
      <c r="K62" s="11"/>
      <c r="L62" s="72"/>
    </row>
    <row r="63" ht="15.0" customHeight="1">
      <c r="B63" s="69"/>
      <c r="F63" s="13" t="s">
        <v>72</v>
      </c>
      <c r="G63" s="13"/>
      <c r="H63" s="73"/>
      <c r="I63" s="74"/>
      <c r="J63" s="74"/>
      <c r="K63" s="14"/>
      <c r="L63" s="72"/>
      <c r="M63" s="75"/>
    </row>
    <row r="64">
      <c r="B64" s="69"/>
      <c r="C64" s="7"/>
      <c r="D64" s="7"/>
      <c r="E64" s="7"/>
      <c r="F64" s="76"/>
      <c r="G64" s="76"/>
      <c r="H64" s="76"/>
      <c r="I64" s="76"/>
      <c r="J64" s="77"/>
      <c r="K64" s="77"/>
      <c r="L64" s="78"/>
      <c r="M64" s="79"/>
    </row>
    <row r="65" ht="13.5" customHeight="1">
      <c r="B65" s="20" t="s">
        <v>212</v>
      </c>
      <c r="C65" s="21"/>
      <c r="D65" s="21"/>
      <c r="E65" s="21"/>
      <c r="F65" s="21"/>
      <c r="G65" s="21"/>
      <c r="H65" s="21"/>
      <c r="I65" s="21"/>
      <c r="J65" s="21"/>
      <c r="K65" s="21"/>
      <c r="L65" s="80"/>
    </row>
    <row r="66" ht="13.5" customHeight="1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81"/>
    </row>
    <row r="67">
      <c r="B67" s="82"/>
      <c r="C67" s="83" t="s">
        <v>31</v>
      </c>
      <c r="D67" s="84"/>
      <c r="E67" s="85" t="s">
        <v>32</v>
      </c>
      <c r="F67" s="86" t="s">
        <v>33</v>
      </c>
      <c r="G67" s="87" t="s">
        <v>34</v>
      </c>
      <c r="H67" s="88" t="s">
        <v>35</v>
      </c>
      <c r="I67" s="88" t="s">
        <v>36</v>
      </c>
      <c r="J67" s="88" t="s">
        <v>37</v>
      </c>
      <c r="K67" s="88" t="s">
        <v>38</v>
      </c>
      <c r="L67" s="89" t="s">
        <v>39</v>
      </c>
    </row>
    <row r="68">
      <c r="B68" s="90"/>
      <c r="C68" s="91" t="s">
        <v>213</v>
      </c>
      <c r="D68" s="92"/>
      <c r="E68" s="93">
        <v>1.0</v>
      </c>
      <c r="F68" s="94">
        <v>2.0</v>
      </c>
      <c r="G68" s="95" t="str">
        <f t="shared" ref="G68:G72" si="5">IF(C$68="Underhand Rows","10","AMRAP")</f>
        <v>AMRAP</v>
      </c>
      <c r="H68" s="96"/>
      <c r="I68" s="94"/>
      <c r="J68" s="94"/>
      <c r="K68" s="97"/>
      <c r="L68" s="98"/>
    </row>
    <row r="69">
      <c r="B69" s="99"/>
      <c r="C69" s="100" t="s">
        <v>214</v>
      </c>
      <c r="D69" s="101"/>
      <c r="E69" s="102">
        <v>2.0</v>
      </c>
      <c r="F69" s="103">
        <v>3.0</v>
      </c>
      <c r="G69" s="104" t="str">
        <f t="shared" si="5"/>
        <v>AMRAP</v>
      </c>
      <c r="H69" s="105"/>
      <c r="I69" s="103"/>
      <c r="J69" s="103"/>
      <c r="K69" s="106"/>
      <c r="L69" s="107"/>
    </row>
    <row r="70">
      <c r="B70" s="99"/>
      <c r="C70" s="100" t="s">
        <v>215</v>
      </c>
      <c r="D70" s="101"/>
      <c r="E70" s="102">
        <v>3.0</v>
      </c>
      <c r="F70" s="103">
        <v>4.0</v>
      </c>
      <c r="G70" s="104" t="str">
        <f t="shared" si="5"/>
        <v>AMRAP</v>
      </c>
      <c r="H70" s="105"/>
      <c r="I70" s="103"/>
      <c r="J70" s="103"/>
      <c r="K70" s="103"/>
      <c r="L70" s="107"/>
      <c r="M70" s="75"/>
    </row>
    <row r="71">
      <c r="B71" s="108"/>
      <c r="C71" s="109"/>
      <c r="D71" s="101"/>
      <c r="E71" s="102">
        <v>4.0</v>
      </c>
      <c r="F71" s="103">
        <v>4.0</v>
      </c>
      <c r="G71" s="104" t="str">
        <f t="shared" si="5"/>
        <v>AMRAP</v>
      </c>
      <c r="H71" s="105"/>
      <c r="I71" s="103"/>
      <c r="J71" s="103"/>
      <c r="K71" s="103"/>
      <c r="L71" s="107"/>
      <c r="M71" s="75"/>
    </row>
    <row r="72">
      <c r="B72" s="127"/>
      <c r="C72" s="111" t="str">
        <f>iferror(vlookup(LEFT(C68,LEN(C68)-2)&amp;"*",ExcerciseLookup,3,FALSE),"")</f>
        <v>Video Tutorial</v>
      </c>
      <c r="D72" s="112"/>
      <c r="E72" s="128">
        <v>5.0</v>
      </c>
      <c r="F72" s="129">
        <v>5.0</v>
      </c>
      <c r="G72" s="130" t="str">
        <f t="shared" si="5"/>
        <v>AMRAP</v>
      </c>
      <c r="H72" s="131"/>
      <c r="I72" s="129"/>
      <c r="J72" s="129"/>
      <c r="K72" s="129"/>
      <c r="L72" s="132"/>
      <c r="M72" s="75"/>
    </row>
    <row r="73">
      <c r="B73" s="118"/>
      <c r="C73" s="119" t="s">
        <v>216</v>
      </c>
      <c r="D73" s="120"/>
      <c r="E73" s="121">
        <v>1.0</v>
      </c>
      <c r="F73" s="122">
        <v>2.0</v>
      </c>
      <c r="G73" s="123">
        <v>8.0</v>
      </c>
      <c r="H73" s="124"/>
      <c r="I73" s="122"/>
      <c r="J73" s="122"/>
      <c r="K73" s="125"/>
      <c r="L73" s="126"/>
      <c r="M73" s="75"/>
    </row>
    <row r="74">
      <c r="B74" s="99"/>
      <c r="C74" s="100" t="s">
        <v>217</v>
      </c>
      <c r="D74" s="101"/>
      <c r="E74" s="102">
        <v>2.0</v>
      </c>
      <c r="F74" s="103">
        <v>3.0</v>
      </c>
      <c r="G74" s="104">
        <v>8.0</v>
      </c>
      <c r="H74" s="105"/>
      <c r="I74" s="103"/>
      <c r="J74" s="103"/>
      <c r="K74" s="103"/>
      <c r="L74" s="107"/>
      <c r="M74" s="75"/>
    </row>
    <row r="75">
      <c r="B75" s="99"/>
      <c r="C75" s="100" t="s">
        <v>218</v>
      </c>
      <c r="D75" s="101"/>
      <c r="E75" s="102">
        <v>3.0</v>
      </c>
      <c r="F75" s="103">
        <v>4.0</v>
      </c>
      <c r="G75" s="104">
        <v>8.0</v>
      </c>
      <c r="H75" s="105"/>
      <c r="I75" s="103"/>
      <c r="J75" s="103"/>
      <c r="K75" s="103"/>
      <c r="L75" s="107"/>
    </row>
    <row r="76">
      <c r="B76" s="108"/>
      <c r="C76" s="100"/>
      <c r="D76" s="101"/>
      <c r="E76" s="102">
        <v>4.0</v>
      </c>
      <c r="F76" s="103">
        <v>4.0</v>
      </c>
      <c r="G76" s="104">
        <v>8.0</v>
      </c>
      <c r="H76" s="105"/>
      <c r="I76" s="103"/>
      <c r="J76" s="103"/>
      <c r="K76" s="103"/>
      <c r="L76" s="107"/>
    </row>
    <row r="77">
      <c r="B77" s="127"/>
      <c r="C77" s="111" t="str">
        <f>iferror(vlookup(LEFT(C73,LEN(C73)-2)&amp;"*",ExcerciseLookup,3,FALSE),"")</f>
        <v>Video Tutorial</v>
      </c>
      <c r="D77" s="112"/>
      <c r="E77" s="128">
        <v>5.0</v>
      </c>
      <c r="F77" s="129">
        <v>4.0</v>
      </c>
      <c r="G77" s="130">
        <v>8.0</v>
      </c>
      <c r="H77" s="131"/>
      <c r="I77" s="129"/>
      <c r="J77" s="129"/>
      <c r="K77" s="129"/>
      <c r="L77" s="132"/>
    </row>
    <row r="78">
      <c r="B78" s="20" t="s">
        <v>219</v>
      </c>
      <c r="C78" s="21"/>
      <c r="D78" s="21"/>
      <c r="E78" s="21"/>
      <c r="F78" s="21"/>
      <c r="G78" s="21"/>
      <c r="H78" s="21"/>
      <c r="I78" s="21"/>
      <c r="J78" s="21"/>
      <c r="K78" s="21"/>
      <c r="L78" s="80"/>
    </row>
    <row r="79" ht="13.5" customHeight="1"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81"/>
    </row>
    <row r="80">
      <c r="B80" s="82"/>
      <c r="C80" s="83" t="s">
        <v>31</v>
      </c>
      <c r="D80" s="84"/>
      <c r="E80" s="85" t="s">
        <v>32</v>
      </c>
      <c r="F80" s="86" t="s">
        <v>33</v>
      </c>
      <c r="G80" s="87" t="s">
        <v>34</v>
      </c>
      <c r="H80" s="88" t="s">
        <v>35</v>
      </c>
      <c r="I80" s="88" t="s">
        <v>36</v>
      </c>
      <c r="J80" s="88" t="s">
        <v>37</v>
      </c>
      <c r="K80" s="88" t="s">
        <v>38</v>
      </c>
      <c r="L80" s="89" t="s">
        <v>39</v>
      </c>
    </row>
    <row r="81">
      <c r="B81" s="90"/>
      <c r="C81" s="91" t="s">
        <v>22</v>
      </c>
      <c r="D81" s="92"/>
      <c r="E81" s="93">
        <v>1.0</v>
      </c>
      <c r="F81" s="94">
        <v>2.0</v>
      </c>
      <c r="G81" s="95" t="s">
        <v>42</v>
      </c>
      <c r="H81" s="96"/>
      <c r="I81" s="94"/>
      <c r="J81" s="94"/>
      <c r="K81" s="97"/>
      <c r="L81" s="98"/>
    </row>
    <row r="82">
      <c r="B82" s="99"/>
      <c r="C82" s="100" t="s">
        <v>220</v>
      </c>
      <c r="D82" s="101"/>
      <c r="E82" s="102">
        <v>2.0</v>
      </c>
      <c r="F82" s="103">
        <v>3.0</v>
      </c>
      <c r="G82" s="104" t="s">
        <v>42</v>
      </c>
      <c r="H82" s="105"/>
      <c r="I82" s="103"/>
      <c r="J82" s="103"/>
      <c r="K82" s="106"/>
      <c r="L82" s="107"/>
    </row>
    <row r="83">
      <c r="B83" s="99"/>
      <c r="C83" s="100" t="s">
        <v>221</v>
      </c>
      <c r="D83" s="101"/>
      <c r="E83" s="102">
        <v>3.0</v>
      </c>
      <c r="F83" s="103">
        <v>3.0</v>
      </c>
      <c r="G83" s="104" t="s">
        <v>42</v>
      </c>
      <c r="H83" s="105"/>
      <c r="I83" s="103"/>
      <c r="J83" s="103"/>
      <c r="K83" s="103"/>
      <c r="L83" s="107"/>
    </row>
    <row r="84">
      <c r="B84" s="108"/>
      <c r="C84" s="109"/>
      <c r="D84" s="101"/>
      <c r="E84" s="102">
        <v>4.0</v>
      </c>
      <c r="F84" s="103">
        <v>3.0</v>
      </c>
      <c r="G84" s="104" t="s">
        <v>42</v>
      </c>
      <c r="H84" s="105"/>
      <c r="I84" s="103"/>
      <c r="J84" s="103"/>
      <c r="K84" s="103"/>
      <c r="L84" s="107"/>
    </row>
    <row r="85">
      <c r="B85" s="127"/>
      <c r="C85" s="111" t="str">
        <f>iferror(vlookup(LEFT(C81,LEN(C81)-2)&amp;"*",ExcerciseLookup,3,FALSE),"")</f>
        <v>Video Tutorial</v>
      </c>
      <c r="D85" s="112"/>
      <c r="E85" s="128">
        <v>5.0</v>
      </c>
      <c r="F85" s="129">
        <v>4.0</v>
      </c>
      <c r="G85" s="130" t="s">
        <v>42</v>
      </c>
      <c r="H85" s="131"/>
      <c r="I85" s="129"/>
      <c r="J85" s="129"/>
      <c r="K85" s="129"/>
      <c r="L85" s="132"/>
    </row>
    <row r="86">
      <c r="B86" s="118"/>
      <c r="C86" s="119" t="s">
        <v>222</v>
      </c>
      <c r="D86" s="120"/>
      <c r="E86" s="121">
        <v>1.0</v>
      </c>
      <c r="F86" s="122">
        <v>2.0</v>
      </c>
      <c r="G86" s="123">
        <v>8.0</v>
      </c>
      <c r="H86" s="124"/>
      <c r="I86" s="122"/>
      <c r="J86" s="122"/>
      <c r="K86" s="125"/>
      <c r="L86" s="126"/>
    </row>
    <row r="87">
      <c r="B87" s="99"/>
      <c r="C87" s="100" t="s">
        <v>223</v>
      </c>
      <c r="D87" s="101"/>
      <c r="E87" s="102">
        <v>2.0</v>
      </c>
      <c r="F87" s="103">
        <v>3.0</v>
      </c>
      <c r="G87" s="104">
        <v>8.0</v>
      </c>
      <c r="H87" s="105"/>
      <c r="I87" s="103"/>
      <c r="J87" s="103"/>
      <c r="K87" s="103"/>
      <c r="L87" s="107"/>
    </row>
    <row r="88">
      <c r="B88" s="99"/>
      <c r="C88" s="100" t="s">
        <v>224</v>
      </c>
      <c r="D88" s="101"/>
      <c r="E88" s="102">
        <v>3.0</v>
      </c>
      <c r="F88" s="103">
        <v>3.0</v>
      </c>
      <c r="G88" s="104">
        <v>8.0</v>
      </c>
      <c r="H88" s="105"/>
      <c r="I88" s="103"/>
      <c r="J88" s="103"/>
      <c r="K88" s="103"/>
      <c r="L88" s="107"/>
    </row>
    <row r="89">
      <c r="B89" s="108"/>
      <c r="C89" s="100"/>
      <c r="D89" s="101"/>
      <c r="E89" s="102">
        <v>4.0</v>
      </c>
      <c r="F89" s="103">
        <v>3.0</v>
      </c>
      <c r="G89" s="104">
        <v>8.0</v>
      </c>
      <c r="H89" s="105"/>
      <c r="I89" s="103"/>
      <c r="J89" s="103"/>
      <c r="K89" s="103"/>
      <c r="L89" s="107"/>
    </row>
    <row r="90">
      <c r="B90" s="127"/>
      <c r="C90" s="111" t="str">
        <f>iferror(vlookup(LEFT(C86,LEN(C86)-2)&amp;"*",ExcerciseLookup,3,FALSE),"")</f>
        <v>Video Tutorial</v>
      </c>
      <c r="D90" s="112"/>
      <c r="E90" s="128">
        <v>5.0</v>
      </c>
      <c r="F90" s="129">
        <v>4.0</v>
      </c>
      <c r="G90" s="130">
        <v>8.0</v>
      </c>
      <c r="H90" s="131"/>
      <c r="I90" s="129"/>
      <c r="J90" s="129"/>
      <c r="K90" s="129"/>
      <c r="L90" s="132"/>
    </row>
    <row r="91" ht="13.5" customHeight="1">
      <c r="B91" s="20" t="s">
        <v>225</v>
      </c>
      <c r="C91" s="21"/>
      <c r="D91" s="21"/>
      <c r="E91" s="21"/>
      <c r="F91" s="21"/>
      <c r="G91" s="21"/>
      <c r="H91" s="21"/>
      <c r="I91" s="21"/>
      <c r="J91" s="21"/>
      <c r="K91" s="21"/>
      <c r="L91" s="80"/>
    </row>
    <row r="92" ht="13.5" customHeight="1"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81"/>
    </row>
    <row r="93">
      <c r="B93" s="82"/>
      <c r="C93" s="83" t="s">
        <v>31</v>
      </c>
      <c r="D93" s="84"/>
      <c r="E93" s="85" t="s">
        <v>32</v>
      </c>
      <c r="F93" s="86" t="s">
        <v>33</v>
      </c>
      <c r="G93" s="87" t="s">
        <v>34</v>
      </c>
      <c r="H93" s="88" t="s">
        <v>35</v>
      </c>
      <c r="I93" s="88" t="s">
        <v>36</v>
      </c>
      <c r="J93" s="88" t="s">
        <v>37</v>
      </c>
      <c r="K93" s="88" t="s">
        <v>38</v>
      </c>
      <c r="L93" s="89" t="s">
        <v>39</v>
      </c>
    </row>
    <row r="94">
      <c r="B94" s="90"/>
      <c r="C94" s="91" t="s">
        <v>226</v>
      </c>
      <c r="D94" s="92"/>
      <c r="E94" s="93">
        <v>1.0</v>
      </c>
      <c r="F94" s="94">
        <v>2.0</v>
      </c>
      <c r="G94" s="95" t="s">
        <v>58</v>
      </c>
      <c r="H94" s="96"/>
      <c r="I94" s="94"/>
      <c r="J94" s="94"/>
      <c r="K94" s="97"/>
      <c r="L94" s="98"/>
    </row>
    <row r="95">
      <c r="B95" s="99"/>
      <c r="C95" s="100" t="s">
        <v>227</v>
      </c>
      <c r="D95" s="101"/>
      <c r="E95" s="102">
        <v>2.0</v>
      </c>
      <c r="F95" s="103">
        <v>3.0</v>
      </c>
      <c r="G95" s="104" t="s">
        <v>60</v>
      </c>
      <c r="H95" s="105"/>
      <c r="I95" s="103"/>
      <c r="J95" s="103"/>
      <c r="K95" s="106"/>
      <c r="L95" s="107"/>
    </row>
    <row r="96">
      <c r="B96" s="99"/>
      <c r="C96" s="100" t="s">
        <v>228</v>
      </c>
      <c r="D96" s="101"/>
      <c r="E96" s="102">
        <v>3.0</v>
      </c>
      <c r="F96" s="103">
        <v>3.0</v>
      </c>
      <c r="G96" s="104" t="s">
        <v>62</v>
      </c>
      <c r="H96" s="105"/>
      <c r="I96" s="103"/>
      <c r="J96" s="103"/>
      <c r="K96" s="103"/>
      <c r="L96" s="107"/>
    </row>
    <row r="97">
      <c r="B97" s="108"/>
      <c r="C97" s="109"/>
      <c r="D97" s="101"/>
      <c r="E97" s="102">
        <v>4.0</v>
      </c>
      <c r="F97" s="103">
        <v>3.0</v>
      </c>
      <c r="G97" s="104" t="s">
        <v>63</v>
      </c>
      <c r="H97" s="105"/>
      <c r="I97" s="103"/>
      <c r="J97" s="103"/>
      <c r="K97" s="103"/>
      <c r="L97" s="107"/>
    </row>
    <row r="98">
      <c r="B98" s="127"/>
      <c r="C98" s="111" t="str">
        <f>iferror(vlookup(LEFT(C94,LEN(C94)-2)&amp;"*",ExcerciseLookup,3,FALSE),"")</f>
        <v>Video Tutorial</v>
      </c>
      <c r="D98" s="112"/>
      <c r="E98" s="128">
        <v>5.0</v>
      </c>
      <c r="F98" s="129">
        <v>3.0</v>
      </c>
      <c r="G98" s="130" t="s">
        <v>64</v>
      </c>
      <c r="H98" s="131"/>
      <c r="I98" s="129"/>
      <c r="J98" s="129"/>
      <c r="K98" s="129"/>
      <c r="L98" s="132"/>
    </row>
    <row r="99">
      <c r="B99" s="118"/>
      <c r="C99" s="119" t="s">
        <v>229</v>
      </c>
      <c r="D99" s="120"/>
      <c r="E99" s="121">
        <v>1.0</v>
      </c>
      <c r="F99" s="122">
        <v>2.0</v>
      </c>
      <c r="G99" s="123" t="str">
        <f>IF(C$99="Dumbbell Racked Carry","30 Steps","15")</f>
        <v>30 Steps</v>
      </c>
      <c r="H99" s="124"/>
      <c r="I99" s="122"/>
      <c r="J99" s="122"/>
      <c r="K99" s="125"/>
      <c r="L99" s="126"/>
    </row>
    <row r="100">
      <c r="B100" s="99"/>
      <c r="C100" s="100" t="s">
        <v>230</v>
      </c>
      <c r="D100" s="101"/>
      <c r="E100" s="102">
        <v>2.0</v>
      </c>
      <c r="F100" s="103">
        <v>2.0</v>
      </c>
      <c r="G100" s="104" t="str">
        <f>IF(C$99="Dumbbell Racked Carry","40 Steps","15")</f>
        <v>40 Steps</v>
      </c>
      <c r="H100" s="105"/>
      <c r="I100" s="103"/>
      <c r="J100" s="103"/>
      <c r="K100" s="103"/>
      <c r="L100" s="107"/>
    </row>
    <row r="101">
      <c r="B101" s="99"/>
      <c r="C101" s="100" t="s">
        <v>231</v>
      </c>
      <c r="D101" s="101"/>
      <c r="E101" s="102">
        <v>3.0</v>
      </c>
      <c r="F101" s="103">
        <v>3.0</v>
      </c>
      <c r="G101" s="104" t="str">
        <f>IF(C$99="Dumbbell Racked Carry","30 Steps","15")</f>
        <v>30 Steps</v>
      </c>
      <c r="H101" s="105"/>
      <c r="I101" s="103"/>
      <c r="J101" s="103"/>
      <c r="K101" s="103"/>
      <c r="L101" s="107"/>
    </row>
    <row r="102">
      <c r="B102" s="108"/>
      <c r="C102" s="100"/>
      <c r="D102" s="101"/>
      <c r="E102" s="102">
        <v>4.0</v>
      </c>
      <c r="F102" s="103">
        <v>3.0</v>
      </c>
      <c r="G102" s="104" t="str">
        <f>IF(C$99="Dumbbell Racked Carry","40 Steps","15")</f>
        <v>40 Steps</v>
      </c>
      <c r="H102" s="105"/>
      <c r="I102" s="103"/>
      <c r="J102" s="103"/>
      <c r="K102" s="103"/>
      <c r="L102" s="107"/>
    </row>
    <row r="103">
      <c r="B103" s="127"/>
      <c r="C103" s="111" t="str">
        <f>iferror(vlookup(LEFT(C99,LEN(C99)-2)&amp;"*",ExcerciseLookup,3,FALSE),"")</f>
        <v>Video Tutorial</v>
      </c>
      <c r="D103" s="112"/>
      <c r="E103" s="128">
        <v>5.0</v>
      </c>
      <c r="F103" s="129">
        <v>3.0</v>
      </c>
      <c r="G103" s="130" t="str">
        <f>IF(C$99="Dumbbell Racked Carry","30 Steps","15")</f>
        <v>30 Steps</v>
      </c>
      <c r="H103" s="131"/>
      <c r="I103" s="129"/>
      <c r="J103" s="129"/>
      <c r="K103" s="129"/>
      <c r="L103" s="132"/>
    </row>
    <row r="104">
      <c r="B104" s="118"/>
      <c r="C104" s="119" t="s">
        <v>93</v>
      </c>
      <c r="D104" s="120"/>
      <c r="E104" s="121">
        <v>1.0</v>
      </c>
      <c r="F104" s="122">
        <v>2.0</v>
      </c>
      <c r="G104" s="123">
        <v>15.0</v>
      </c>
      <c r="H104" s="124"/>
      <c r="I104" s="122"/>
      <c r="J104" s="122"/>
      <c r="K104" s="125"/>
      <c r="L104" s="126"/>
    </row>
    <row r="105">
      <c r="B105" s="99"/>
      <c r="C105" s="100" t="s">
        <v>232</v>
      </c>
      <c r="D105" s="101"/>
      <c r="E105" s="102">
        <v>2.0</v>
      </c>
      <c r="F105" s="103">
        <v>2.0</v>
      </c>
      <c r="G105" s="104">
        <v>15.0</v>
      </c>
      <c r="H105" s="105"/>
      <c r="I105" s="103"/>
      <c r="J105" s="103"/>
      <c r="K105" s="103"/>
      <c r="L105" s="107"/>
    </row>
    <row r="106">
      <c r="B106" s="99"/>
      <c r="C106" s="100" t="s">
        <v>233</v>
      </c>
      <c r="D106" s="101"/>
      <c r="E106" s="102">
        <v>3.0</v>
      </c>
      <c r="F106" s="103">
        <v>2.0</v>
      </c>
      <c r="G106" s="104">
        <v>12.0</v>
      </c>
      <c r="H106" s="105"/>
      <c r="I106" s="103"/>
      <c r="J106" s="103"/>
      <c r="K106" s="103"/>
      <c r="L106" s="107"/>
    </row>
    <row r="107">
      <c r="B107" s="108"/>
      <c r="C107" s="100"/>
      <c r="D107" s="101"/>
      <c r="E107" s="102">
        <v>4.0</v>
      </c>
      <c r="F107" s="103">
        <v>2.0</v>
      </c>
      <c r="G107" s="104">
        <v>12.0</v>
      </c>
      <c r="H107" s="105"/>
      <c r="I107" s="103"/>
      <c r="J107" s="103"/>
      <c r="K107" s="103"/>
      <c r="L107" s="107"/>
    </row>
    <row r="108">
      <c r="B108" s="127"/>
      <c r="C108" s="111" t="str">
        <f>iferror(vlookup(LEFT(C104,LEN(C104)-2)&amp;"*",ExcerciseLookup,3,FALSE),"")</f>
        <v>Video Tutorial</v>
      </c>
      <c r="D108" s="112"/>
      <c r="E108" s="128">
        <v>5.0</v>
      </c>
      <c r="F108" s="129">
        <v>3.0</v>
      </c>
      <c r="G108" s="130">
        <v>12.0</v>
      </c>
      <c r="H108" s="131"/>
      <c r="I108" s="129"/>
      <c r="J108" s="129"/>
      <c r="K108" s="129"/>
      <c r="L108" s="132"/>
    </row>
    <row r="109"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</row>
    <row r="110"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</row>
    <row r="111"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</row>
    <row r="112" ht="15.75" customHeight="1">
      <c r="B112" s="64"/>
      <c r="C112" s="65"/>
      <c r="D112" s="65"/>
      <c r="E112" s="65"/>
      <c r="F112" s="66"/>
      <c r="G112" s="66"/>
      <c r="H112" s="66"/>
      <c r="I112" s="66"/>
      <c r="J112" s="67"/>
      <c r="K112" s="67"/>
      <c r="L112" s="68"/>
    </row>
    <row r="113" ht="15.0" customHeight="1">
      <c r="B113" s="69"/>
      <c r="C113" s="8"/>
      <c r="F113" s="9" t="s">
        <v>211</v>
      </c>
      <c r="G113" s="9"/>
      <c r="H113" s="70"/>
      <c r="I113" s="71"/>
      <c r="J113" s="71"/>
      <c r="K113" s="11"/>
      <c r="L113" s="72"/>
    </row>
    <row r="114" ht="15.0" customHeight="1">
      <c r="B114" s="69"/>
      <c r="F114" s="13" t="s">
        <v>97</v>
      </c>
      <c r="G114" s="13"/>
      <c r="H114" s="73"/>
      <c r="I114" s="74"/>
      <c r="J114" s="74"/>
      <c r="K114" s="14"/>
      <c r="L114" s="72"/>
      <c r="M114" s="75"/>
    </row>
    <row r="115">
      <c r="B115" s="69"/>
      <c r="C115" s="7"/>
      <c r="D115" s="7"/>
      <c r="E115" s="7"/>
      <c r="F115" s="76"/>
      <c r="G115" s="76"/>
      <c r="H115" s="76"/>
      <c r="I115" s="76"/>
      <c r="J115" s="77"/>
      <c r="K115" s="77"/>
      <c r="L115" s="78"/>
      <c r="M115" s="79"/>
    </row>
    <row r="116" ht="13.5" customHeight="1">
      <c r="B116" s="20" t="s">
        <v>234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80"/>
    </row>
    <row r="117" ht="13.5" customHeight="1"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81"/>
    </row>
    <row r="118">
      <c r="B118" s="82"/>
      <c r="C118" s="83" t="s">
        <v>31</v>
      </c>
      <c r="D118" s="84"/>
      <c r="E118" s="85" t="s">
        <v>32</v>
      </c>
      <c r="F118" s="86" t="s">
        <v>33</v>
      </c>
      <c r="G118" s="87" t="s">
        <v>34</v>
      </c>
      <c r="H118" s="88" t="s">
        <v>35</v>
      </c>
      <c r="I118" s="88" t="s">
        <v>36</v>
      </c>
      <c r="J118" s="88" t="s">
        <v>37</v>
      </c>
      <c r="K118" s="88" t="s">
        <v>38</v>
      </c>
      <c r="L118" s="89" t="s">
        <v>39</v>
      </c>
    </row>
    <row r="119">
      <c r="B119" s="90"/>
      <c r="C119" s="91" t="s">
        <v>216</v>
      </c>
      <c r="D119" s="92"/>
      <c r="E119" s="93">
        <v>1.0</v>
      </c>
      <c r="F119" s="94">
        <v>2.0</v>
      </c>
      <c r="G119" s="95">
        <v>8.0</v>
      </c>
      <c r="H119" s="96"/>
      <c r="I119" s="94"/>
      <c r="J119" s="94"/>
      <c r="K119" s="97"/>
      <c r="L119" s="98"/>
    </row>
    <row r="120">
      <c r="B120" s="99"/>
      <c r="C120" s="100" t="s">
        <v>235</v>
      </c>
      <c r="D120" s="101"/>
      <c r="E120" s="102">
        <v>2.0</v>
      </c>
      <c r="F120" s="103">
        <v>3.0</v>
      </c>
      <c r="G120" s="104">
        <v>8.0</v>
      </c>
      <c r="H120" s="105"/>
      <c r="I120" s="103"/>
      <c r="J120" s="103"/>
      <c r="K120" s="106"/>
      <c r="L120" s="107"/>
    </row>
    <row r="121">
      <c r="B121" s="99"/>
      <c r="C121" s="100" t="s">
        <v>236</v>
      </c>
      <c r="D121" s="101"/>
      <c r="E121" s="102">
        <v>3.0</v>
      </c>
      <c r="F121" s="103">
        <v>4.0</v>
      </c>
      <c r="G121" s="104">
        <v>8.0</v>
      </c>
      <c r="H121" s="105"/>
      <c r="I121" s="103"/>
      <c r="J121" s="103"/>
      <c r="K121" s="103"/>
      <c r="L121" s="107"/>
      <c r="M121" s="75"/>
    </row>
    <row r="122">
      <c r="B122" s="108"/>
      <c r="C122" s="109"/>
      <c r="D122" s="101"/>
      <c r="E122" s="102">
        <v>4.0</v>
      </c>
      <c r="F122" s="103">
        <v>4.0</v>
      </c>
      <c r="G122" s="104">
        <v>8.0</v>
      </c>
      <c r="H122" s="105"/>
      <c r="I122" s="103"/>
      <c r="J122" s="103"/>
      <c r="K122" s="103"/>
      <c r="L122" s="107"/>
      <c r="M122" s="75"/>
    </row>
    <row r="123">
      <c r="B123" s="127"/>
      <c r="C123" s="111" t="str">
        <f>iferror(vlookup(LEFT(C119,LEN(C119)-2)&amp;"*",ExcerciseLookup,3,FALSE),"")</f>
        <v>Video Tutorial</v>
      </c>
      <c r="D123" s="112"/>
      <c r="E123" s="128">
        <v>5.0</v>
      </c>
      <c r="F123" s="129">
        <v>4.0</v>
      </c>
      <c r="G123" s="130">
        <v>8.0</v>
      </c>
      <c r="H123" s="131"/>
      <c r="I123" s="129"/>
      <c r="J123" s="129"/>
      <c r="K123" s="129"/>
      <c r="L123" s="132"/>
      <c r="M123" s="75"/>
    </row>
    <row r="124">
      <c r="B124" s="118"/>
      <c r="C124" s="119" t="s">
        <v>213</v>
      </c>
      <c r="D124" s="120"/>
      <c r="E124" s="121">
        <v>1.0</v>
      </c>
      <c r="F124" s="122">
        <v>2.0</v>
      </c>
      <c r="G124" s="123" t="str">
        <f t="shared" ref="G124:G128" si="6">IF(C$124="Underhand Rows","10","AMRAP")</f>
        <v>AMRAP</v>
      </c>
      <c r="H124" s="124"/>
      <c r="I124" s="122"/>
      <c r="J124" s="122"/>
      <c r="K124" s="125"/>
      <c r="L124" s="126"/>
      <c r="M124" s="75"/>
    </row>
    <row r="125">
      <c r="B125" s="99"/>
      <c r="C125" s="100" t="s">
        <v>237</v>
      </c>
      <c r="D125" s="101"/>
      <c r="E125" s="102">
        <v>2.0</v>
      </c>
      <c r="F125" s="103">
        <v>3.0</v>
      </c>
      <c r="G125" s="104" t="str">
        <f t="shared" si="6"/>
        <v>AMRAP</v>
      </c>
      <c r="H125" s="105"/>
      <c r="I125" s="103"/>
      <c r="J125" s="103"/>
      <c r="K125" s="103"/>
      <c r="L125" s="107"/>
      <c r="M125" s="75"/>
    </row>
    <row r="126">
      <c r="B126" s="99"/>
      <c r="C126" s="100" t="s">
        <v>238</v>
      </c>
      <c r="D126" s="101"/>
      <c r="E126" s="102">
        <v>3.0</v>
      </c>
      <c r="F126" s="103">
        <v>4.0</v>
      </c>
      <c r="G126" s="104" t="str">
        <f t="shared" si="6"/>
        <v>AMRAP</v>
      </c>
      <c r="H126" s="105"/>
      <c r="I126" s="103"/>
      <c r="J126" s="103"/>
      <c r="K126" s="103"/>
      <c r="L126" s="107"/>
    </row>
    <row r="127">
      <c r="B127" s="108"/>
      <c r="C127" s="100"/>
      <c r="D127" s="101"/>
      <c r="E127" s="102">
        <v>4.0</v>
      </c>
      <c r="F127" s="103">
        <v>4.0</v>
      </c>
      <c r="G127" s="104" t="str">
        <f t="shared" si="6"/>
        <v>AMRAP</v>
      </c>
      <c r="H127" s="105"/>
      <c r="I127" s="103"/>
      <c r="J127" s="103"/>
      <c r="K127" s="103"/>
      <c r="L127" s="107"/>
    </row>
    <row r="128">
      <c r="B128" s="127"/>
      <c r="C128" s="111" t="str">
        <f>iferror(vlookup(LEFT(C124,LEN(C124)-2)&amp;"*",ExcerciseLookup,3,FALSE),"")</f>
        <v>Video Tutorial</v>
      </c>
      <c r="D128" s="112"/>
      <c r="E128" s="128">
        <v>5.0</v>
      </c>
      <c r="F128" s="129">
        <v>5.0</v>
      </c>
      <c r="G128" s="130" t="str">
        <f t="shared" si="6"/>
        <v>AMRAP</v>
      </c>
      <c r="H128" s="131"/>
      <c r="I128" s="129"/>
      <c r="J128" s="129"/>
      <c r="K128" s="129"/>
      <c r="L128" s="132"/>
    </row>
    <row r="129" ht="13.5" customHeight="1">
      <c r="B129" s="20" t="s">
        <v>239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80"/>
    </row>
    <row r="130" ht="13.5" customHeight="1"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81"/>
    </row>
    <row r="131">
      <c r="B131" s="82"/>
      <c r="C131" s="83" t="s">
        <v>31</v>
      </c>
      <c r="D131" s="84"/>
      <c r="E131" s="85" t="s">
        <v>32</v>
      </c>
      <c r="F131" s="86" t="s">
        <v>33</v>
      </c>
      <c r="G131" s="87" t="s">
        <v>34</v>
      </c>
      <c r="H131" s="88" t="s">
        <v>35</v>
      </c>
      <c r="I131" s="88" t="s">
        <v>36</v>
      </c>
      <c r="J131" s="88" t="s">
        <v>37</v>
      </c>
      <c r="K131" s="88" t="s">
        <v>38</v>
      </c>
      <c r="L131" s="89" t="s">
        <v>39</v>
      </c>
    </row>
    <row r="132">
      <c r="B132" s="90"/>
      <c r="C132" s="91" t="s">
        <v>240</v>
      </c>
      <c r="D132" s="92"/>
      <c r="E132" s="93">
        <v>1.0</v>
      </c>
      <c r="F132" s="94">
        <v>2.0</v>
      </c>
      <c r="G132" s="95" t="str">
        <f t="shared" ref="G132:G134" si="7">IF(C$132="1-Arm Incline Dumbbell Bench","10/Side",8)</f>
        <v>10/Side</v>
      </c>
      <c r="H132" s="96"/>
      <c r="I132" s="94"/>
      <c r="J132" s="94"/>
      <c r="K132" s="97"/>
      <c r="L132" s="98"/>
    </row>
    <row r="133">
      <c r="B133" s="99"/>
      <c r="C133" s="100" t="s">
        <v>241</v>
      </c>
      <c r="D133" s="101"/>
      <c r="E133" s="102">
        <v>2.0</v>
      </c>
      <c r="F133" s="103">
        <v>3.0</v>
      </c>
      <c r="G133" s="104" t="str">
        <f t="shared" si="7"/>
        <v>10/Side</v>
      </c>
      <c r="H133" s="105"/>
      <c r="I133" s="103"/>
      <c r="J133" s="103"/>
      <c r="K133" s="106"/>
      <c r="L133" s="107"/>
    </row>
    <row r="134">
      <c r="B134" s="99"/>
      <c r="C134" s="100" t="s">
        <v>242</v>
      </c>
      <c r="D134" s="101"/>
      <c r="E134" s="102">
        <v>3.0</v>
      </c>
      <c r="F134" s="103">
        <v>3.0</v>
      </c>
      <c r="G134" s="104" t="str">
        <f t="shared" si="7"/>
        <v>10/Side</v>
      </c>
      <c r="H134" s="105"/>
      <c r="I134" s="103"/>
      <c r="J134" s="103"/>
      <c r="K134" s="103"/>
      <c r="L134" s="107"/>
    </row>
    <row r="135">
      <c r="B135" s="108"/>
      <c r="C135" s="109"/>
      <c r="D135" s="101"/>
      <c r="E135" s="102">
        <v>4.0</v>
      </c>
      <c r="F135" s="103">
        <v>3.0</v>
      </c>
      <c r="G135" s="104" t="str">
        <f t="shared" ref="G135:G136" si="8">IF(C$132="1-Arm Incline Dumbbell Bench","8/Side",8)</f>
        <v>8/Side</v>
      </c>
      <c r="H135" s="105"/>
      <c r="I135" s="103"/>
      <c r="J135" s="103"/>
      <c r="K135" s="103"/>
      <c r="L135" s="107"/>
    </row>
    <row r="136">
      <c r="B136" s="127"/>
      <c r="C136" s="111" t="str">
        <f>iferror(vlookup(LEFT(C132,LEN(C132)-2)&amp;"*",ExcerciseLookup,3,FALSE),"")</f>
        <v>Video Tutorial</v>
      </c>
      <c r="D136" s="112"/>
      <c r="E136" s="128">
        <v>5.0</v>
      </c>
      <c r="F136" s="129">
        <v>4.0</v>
      </c>
      <c r="G136" s="130" t="str">
        <f t="shared" si="8"/>
        <v>8/Side</v>
      </c>
      <c r="H136" s="131"/>
      <c r="I136" s="129"/>
      <c r="J136" s="129"/>
      <c r="K136" s="129"/>
      <c r="L136" s="132"/>
    </row>
    <row r="137">
      <c r="B137" s="118"/>
      <c r="C137" s="119" t="s">
        <v>243</v>
      </c>
      <c r="D137" s="120"/>
      <c r="E137" s="121">
        <v>1.0</v>
      </c>
      <c r="F137" s="122">
        <v>2.0</v>
      </c>
      <c r="G137" s="123" t="str">
        <f t="shared" ref="G137:G139" si="9">IF(C$137="Suitcase Romanian Deadlift","10/Side",12)</f>
        <v>10/Side</v>
      </c>
      <c r="H137" s="124"/>
      <c r="I137" s="122"/>
      <c r="J137" s="122"/>
      <c r="K137" s="125"/>
      <c r="L137" s="126"/>
    </row>
    <row r="138">
      <c r="B138" s="99"/>
      <c r="C138" s="100" t="s">
        <v>244</v>
      </c>
      <c r="D138" s="101"/>
      <c r="E138" s="102">
        <v>2.0</v>
      </c>
      <c r="F138" s="103">
        <v>3.0</v>
      </c>
      <c r="G138" s="104" t="str">
        <f t="shared" si="9"/>
        <v>10/Side</v>
      </c>
      <c r="H138" s="105"/>
      <c r="I138" s="103"/>
      <c r="J138" s="103"/>
      <c r="K138" s="103"/>
      <c r="L138" s="107"/>
    </row>
    <row r="139">
      <c r="B139" s="99"/>
      <c r="C139" s="100" t="s">
        <v>245</v>
      </c>
      <c r="D139" s="101"/>
      <c r="E139" s="102">
        <v>3.0</v>
      </c>
      <c r="F139" s="103">
        <v>3.0</v>
      </c>
      <c r="G139" s="104" t="str">
        <f t="shared" si="9"/>
        <v>10/Side</v>
      </c>
      <c r="H139" s="105"/>
      <c r="I139" s="103"/>
      <c r="J139" s="103"/>
      <c r="K139" s="103"/>
      <c r="L139" s="107"/>
    </row>
    <row r="140">
      <c r="B140" s="108"/>
      <c r="C140" s="100"/>
      <c r="D140" s="101"/>
      <c r="E140" s="102">
        <v>4.0</v>
      </c>
      <c r="F140" s="103">
        <v>3.0</v>
      </c>
      <c r="G140" s="104" t="str">
        <f t="shared" ref="G140:G141" si="10">IF(C$137="Suitcase Romanian Deadlift","8/Side",12)</f>
        <v>8/Side</v>
      </c>
      <c r="H140" s="105"/>
      <c r="I140" s="103"/>
      <c r="J140" s="103"/>
      <c r="K140" s="103"/>
      <c r="L140" s="107"/>
    </row>
    <row r="141">
      <c r="B141" s="127"/>
      <c r="C141" s="111" t="str">
        <f>iferror(vlookup(LEFT(C137,LEN(C137)-2)&amp;"*",ExcerciseLookup,3,FALSE),"")</f>
        <v>Video Tutorial</v>
      </c>
      <c r="D141" s="112"/>
      <c r="E141" s="128">
        <v>5.0</v>
      </c>
      <c r="F141" s="129">
        <v>4.0</v>
      </c>
      <c r="G141" s="130" t="str">
        <f t="shared" si="10"/>
        <v>8/Side</v>
      </c>
      <c r="H141" s="131"/>
      <c r="I141" s="129"/>
      <c r="J141" s="129"/>
      <c r="K141" s="129"/>
      <c r="L141" s="132"/>
    </row>
    <row r="142" ht="13.5" customHeight="1">
      <c r="B142" s="20" t="s">
        <v>246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80"/>
    </row>
    <row r="143" ht="13.5" customHeight="1"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81"/>
    </row>
    <row r="144">
      <c r="B144" s="82"/>
      <c r="C144" s="83" t="s">
        <v>31</v>
      </c>
      <c r="D144" s="84"/>
      <c r="E144" s="85" t="s">
        <v>32</v>
      </c>
      <c r="F144" s="86" t="s">
        <v>33</v>
      </c>
      <c r="G144" s="87" t="s">
        <v>34</v>
      </c>
      <c r="H144" s="88" t="s">
        <v>35</v>
      </c>
      <c r="I144" s="88" t="s">
        <v>36</v>
      </c>
      <c r="J144" s="88" t="s">
        <v>37</v>
      </c>
      <c r="K144" s="88" t="s">
        <v>38</v>
      </c>
      <c r="L144" s="89" t="s">
        <v>39</v>
      </c>
    </row>
    <row r="145">
      <c r="B145" s="90"/>
      <c r="C145" s="91" t="s">
        <v>208</v>
      </c>
      <c r="D145" s="92"/>
      <c r="E145" s="93">
        <v>1.0</v>
      </c>
      <c r="F145" s="94">
        <v>2.0</v>
      </c>
      <c r="G145" s="95" t="s">
        <v>42</v>
      </c>
      <c r="H145" s="96"/>
      <c r="I145" s="94"/>
      <c r="J145" s="94"/>
      <c r="K145" s="97"/>
      <c r="L145" s="98"/>
    </row>
    <row r="146">
      <c r="B146" s="99"/>
      <c r="C146" s="100" t="s">
        <v>247</v>
      </c>
      <c r="D146" s="101"/>
      <c r="E146" s="102">
        <v>2.0</v>
      </c>
      <c r="F146" s="103">
        <v>2.0</v>
      </c>
      <c r="G146" s="104" t="s">
        <v>42</v>
      </c>
      <c r="H146" s="105"/>
      <c r="I146" s="103"/>
      <c r="J146" s="103"/>
      <c r="K146" s="106"/>
      <c r="L146" s="107"/>
    </row>
    <row r="147">
      <c r="B147" s="99"/>
      <c r="C147" s="100" t="s">
        <v>248</v>
      </c>
      <c r="D147" s="101"/>
      <c r="E147" s="102">
        <v>3.0</v>
      </c>
      <c r="F147" s="103">
        <v>3.0</v>
      </c>
      <c r="G147" s="104" t="s">
        <v>42</v>
      </c>
      <c r="H147" s="105"/>
      <c r="I147" s="103"/>
      <c r="J147" s="103"/>
      <c r="K147" s="103"/>
      <c r="L147" s="107"/>
    </row>
    <row r="148">
      <c r="B148" s="108"/>
      <c r="C148" s="109"/>
      <c r="D148" s="101"/>
      <c r="E148" s="102">
        <v>4.0</v>
      </c>
      <c r="F148" s="103">
        <v>3.0</v>
      </c>
      <c r="G148" s="104" t="s">
        <v>42</v>
      </c>
      <c r="H148" s="105"/>
      <c r="I148" s="103"/>
      <c r="J148" s="103"/>
      <c r="K148" s="103"/>
      <c r="L148" s="107"/>
    </row>
    <row r="149">
      <c r="B149" s="127"/>
      <c r="C149" s="111" t="str">
        <f>iferror(vlookup(LEFT(C145,LEN(C145)-2)&amp;"*",ExcerciseLookup,3,FALSE),"")</f>
        <v>Video Tutorial</v>
      </c>
      <c r="D149" s="112"/>
      <c r="E149" s="128">
        <v>5.0</v>
      </c>
      <c r="F149" s="129">
        <v>4.0</v>
      </c>
      <c r="G149" s="130" t="s">
        <v>42</v>
      </c>
      <c r="H149" s="131"/>
      <c r="I149" s="129"/>
      <c r="J149" s="129"/>
      <c r="K149" s="129"/>
      <c r="L149" s="132"/>
    </row>
    <row r="150">
      <c r="B150" s="118"/>
      <c r="C150" s="119" t="s">
        <v>249</v>
      </c>
      <c r="D150" s="120"/>
      <c r="E150" s="121">
        <v>1.0</v>
      </c>
      <c r="F150" s="122">
        <v>2.0</v>
      </c>
      <c r="G150" s="123">
        <v>10.0</v>
      </c>
      <c r="H150" s="124"/>
      <c r="I150" s="122"/>
      <c r="J150" s="122"/>
      <c r="K150" s="125"/>
      <c r="L150" s="126"/>
    </row>
    <row r="151">
      <c r="B151" s="99"/>
      <c r="C151" s="100" t="s">
        <v>250</v>
      </c>
      <c r="D151" s="101"/>
      <c r="E151" s="102">
        <v>2.0</v>
      </c>
      <c r="F151" s="103">
        <v>2.0</v>
      </c>
      <c r="G151" s="104">
        <v>10.0</v>
      </c>
      <c r="H151" s="105"/>
      <c r="I151" s="103"/>
      <c r="J151" s="103"/>
      <c r="K151" s="103"/>
      <c r="L151" s="107"/>
    </row>
    <row r="152">
      <c r="B152" s="99"/>
      <c r="C152" s="100" t="s">
        <v>251</v>
      </c>
      <c r="D152" s="101"/>
      <c r="E152" s="102">
        <v>3.0</v>
      </c>
      <c r="F152" s="103">
        <v>2.0</v>
      </c>
      <c r="G152" s="104">
        <v>10.0</v>
      </c>
      <c r="H152" s="105"/>
      <c r="I152" s="103"/>
      <c r="J152" s="103"/>
      <c r="K152" s="103"/>
      <c r="L152" s="107"/>
    </row>
    <row r="153">
      <c r="B153" s="108"/>
      <c r="C153" s="100"/>
      <c r="D153" s="101"/>
      <c r="E153" s="102">
        <v>4.0</v>
      </c>
      <c r="F153" s="103">
        <v>2.0</v>
      </c>
      <c r="G153" s="104">
        <v>10.0</v>
      </c>
      <c r="H153" s="105"/>
      <c r="I153" s="103"/>
      <c r="J153" s="103"/>
      <c r="K153" s="103"/>
      <c r="L153" s="107"/>
    </row>
    <row r="154">
      <c r="B154" s="127"/>
      <c r="C154" s="111" t="str">
        <f>iferror(vlookup(LEFT(C150,LEN(C150)-2)&amp;"*",ExcerciseLookup,3,FALSE),"")</f>
        <v>Video Tutorial</v>
      </c>
      <c r="D154" s="112"/>
      <c r="E154" s="128">
        <v>5.0</v>
      </c>
      <c r="F154" s="129">
        <v>3.0</v>
      </c>
      <c r="G154" s="130">
        <v>10.0</v>
      </c>
      <c r="H154" s="131"/>
      <c r="I154" s="129"/>
      <c r="J154" s="129"/>
      <c r="K154" s="129"/>
      <c r="L154" s="132"/>
    </row>
    <row r="155">
      <c r="B155" s="118"/>
      <c r="C155" s="119" t="s">
        <v>252</v>
      </c>
      <c r="D155" s="120"/>
      <c r="E155" s="121">
        <v>1.0</v>
      </c>
      <c r="F155" s="122">
        <v>2.0</v>
      </c>
      <c r="G155" s="123" t="s">
        <v>42</v>
      </c>
      <c r="H155" s="124"/>
      <c r="I155" s="122"/>
      <c r="J155" s="122"/>
      <c r="K155" s="125"/>
      <c r="L155" s="126"/>
    </row>
    <row r="156">
      <c r="B156" s="99"/>
      <c r="C156" s="100" t="s">
        <v>253</v>
      </c>
      <c r="D156" s="101"/>
      <c r="E156" s="102">
        <v>2.0</v>
      </c>
      <c r="F156" s="103">
        <v>2.0</v>
      </c>
      <c r="G156" s="104" t="s">
        <v>42</v>
      </c>
      <c r="H156" s="105"/>
      <c r="I156" s="103"/>
      <c r="J156" s="103"/>
      <c r="K156" s="103"/>
      <c r="L156" s="107"/>
    </row>
    <row r="157">
      <c r="B157" s="99"/>
      <c r="C157" s="100" t="s">
        <v>254</v>
      </c>
      <c r="D157" s="101"/>
      <c r="E157" s="102">
        <v>3.0</v>
      </c>
      <c r="F157" s="103">
        <v>2.0</v>
      </c>
      <c r="G157" s="104" t="s">
        <v>42</v>
      </c>
      <c r="H157" s="105"/>
      <c r="I157" s="103"/>
      <c r="J157" s="103"/>
      <c r="K157" s="103"/>
      <c r="L157" s="107"/>
    </row>
    <row r="158">
      <c r="B158" s="108"/>
      <c r="C158" s="100"/>
      <c r="D158" s="101"/>
      <c r="E158" s="102">
        <v>4.0</v>
      </c>
      <c r="F158" s="103">
        <v>2.0</v>
      </c>
      <c r="G158" s="104" t="s">
        <v>42</v>
      </c>
      <c r="H158" s="105"/>
      <c r="I158" s="103"/>
      <c r="J158" s="103"/>
      <c r="K158" s="103"/>
      <c r="L158" s="107"/>
    </row>
    <row r="159">
      <c r="B159" s="127"/>
      <c r="C159" s="111" t="str">
        <f>iferror(vlookup(LEFT(C155,LEN(C155)-2)&amp;"*",ExcerciseLookup,3,FALSE),"")</f>
        <v>Video Tutorial</v>
      </c>
      <c r="D159" s="112"/>
      <c r="E159" s="128">
        <v>5.0</v>
      </c>
      <c r="F159" s="129">
        <v>3.0</v>
      </c>
      <c r="G159" s="130" t="s">
        <v>42</v>
      </c>
      <c r="H159" s="131"/>
      <c r="I159" s="129"/>
      <c r="J159" s="129"/>
      <c r="K159" s="129"/>
      <c r="L159" s="132"/>
    </row>
    <row r="160"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</row>
    <row r="161"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</row>
    <row r="162"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</row>
  </sheetData>
  <mergeCells count="133">
    <mergeCell ref="C3:E4"/>
    <mergeCell ref="B6:L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L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2:L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50:L51"/>
    <mergeCell ref="C49:D49"/>
    <mergeCell ref="C52:D52"/>
    <mergeCell ref="C53:D53"/>
    <mergeCell ref="C54:D54"/>
    <mergeCell ref="C55:D55"/>
    <mergeCell ref="C56:D56"/>
    <mergeCell ref="C57:D57"/>
    <mergeCell ref="C113:E114"/>
    <mergeCell ref="B116:L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B129:L130"/>
    <mergeCell ref="C138:D138"/>
    <mergeCell ref="C139:D139"/>
    <mergeCell ref="C140:D140"/>
    <mergeCell ref="C141:D141"/>
    <mergeCell ref="B142:L143"/>
    <mergeCell ref="C144:D144"/>
    <mergeCell ref="C145:D145"/>
    <mergeCell ref="C153:D153"/>
    <mergeCell ref="C154:D154"/>
    <mergeCell ref="C155:D155"/>
    <mergeCell ref="C156:D156"/>
    <mergeCell ref="C157:D157"/>
    <mergeCell ref="C158:D158"/>
    <mergeCell ref="C159:D159"/>
    <mergeCell ref="C146:D146"/>
    <mergeCell ref="C147:D147"/>
    <mergeCell ref="C148:D148"/>
    <mergeCell ref="C149:D149"/>
    <mergeCell ref="C150:D150"/>
    <mergeCell ref="C151:D151"/>
    <mergeCell ref="C152:D152"/>
    <mergeCell ref="C62:E63"/>
    <mergeCell ref="B65:L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B78:L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1:L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31:D131"/>
    <mergeCell ref="C132:D132"/>
    <mergeCell ref="C133:D133"/>
    <mergeCell ref="C134:D134"/>
    <mergeCell ref="C135:D135"/>
    <mergeCell ref="C136:D136"/>
    <mergeCell ref="C137:D137"/>
  </mergeCells>
  <conditionalFormatting sqref="H9:L18 H22:L31 H35:L49 H53:L57 H68:L77 H81:L90 H94:L108 H119:L128 H132:L141 H145:L159">
    <cfRule type="expression" dxfId="1" priority="1">
      <formula>if(right(H$8,1)*1&gt;$F9*1,true)</formula>
    </cfRule>
  </conditionalFormatting>
  <conditionalFormatting sqref="I4 I63 I114">
    <cfRule type="containsText" dxfId="2" priority="2" operator="containsText" text="INPUT HERE">
      <formula>NOT(ISERROR(SEARCH(("INPUT HERE"),(I4))))</formula>
    </cfRule>
  </conditionalFormatting>
  <conditionalFormatting sqref="G9:G13 F10:F13 F15:F18 G18 G22:G26 F23:F26 F28:F31 G31 G35:G41 F36:F49 G44:G49 F52:F57 G53:G57 G68:G72 F69:F77 G77 F81:F90 G81:G85 G90 F93:F108 E94:E98 G94:G108 G119:G123 F120:F128 G128 F132:F141 G132:G136 G141 F144:F159 E145:E149 G145:G151 G153:G159 E155:E159 H155:I159">
    <cfRule type="cellIs" dxfId="0" priority="3" operator="equal">
      <formula>"Pending"</formula>
    </cfRule>
  </conditionalFormatting>
  <dataValidations>
    <dataValidation type="list" allowBlank="1" showInputMessage="1" prompt="If in doubt, choose the variation you can lift the most weight with." sqref="C22">
      <formula1>"Dumbbell Bench Press,Barbell Bench Press,Machine Chest Press,"</formula1>
    </dataValidation>
    <dataValidation type="list" allowBlank="1" sqref="C137">
      <formula1>"Suitcase Romanian Deadlift,Barbell Romanian Deadlift"</formula1>
    </dataValidation>
    <dataValidation type="list" allowBlank="1" showInputMessage="1" prompt="If in doubt, choose the variation you can lift the most weight with." sqref="C9">
      <formula1>"Raised Deadlift,Below-the-Knee Rack Pull,Romanian Deadlift"</formula1>
    </dataValidation>
    <dataValidation type="list" allowBlank="1" sqref="C150">
      <formula1>"Overhand Seated Cable Row,Bent-Over Dumbbell Row,Bent-Over Barbell Row,T-Bar Machine Row"</formula1>
    </dataValidation>
    <dataValidation type="list" allowBlank="1" showInputMessage="1" prompt="If in doubt, choose the variation you can lift the most weight with." sqref="C40 C81">
      <formula1>"Push-Ups,Deficit Push-Ups,Raised Push-Ups,Knee Push-Ups"</formula1>
    </dataValidation>
    <dataValidation type="list" allowBlank="1" sqref="C132">
      <formula1>"1-Arm Incline Dumbbell Bench,Incline Dumbbell Bench Press,Incline Barbell Bench Press,Close-Grip Barbell Bench Press"</formula1>
    </dataValidation>
    <dataValidation type="list" allowBlank="1" showInputMessage="1" prompt="This will be your main bench press variation for the phase." sqref="C99">
      <formula1>"Dumbbell Racked Carry,Barbell Shrugs"</formula1>
    </dataValidation>
    <dataValidation type="list" allowBlank="1" showInputMessage="1" prompt="This will be your main bench press variation for the phase." sqref="C14">
      <formula1>"Dumbbell Biceps Curl,Barbell Biceps Curl,Machine Biceps Curl"</formula1>
    </dataValidation>
    <dataValidation type="list" allowBlank="1" showInputMessage="1" prompt="This will be your main bench press variation for the phase." sqref="C35">
      <formula1>"Offset Goblet Squat,Front Squat,Back Squat"</formula1>
    </dataValidation>
    <dataValidation type="list" allowBlank="1" showInputMessage="1" prompt="Click and enter a value from the list of items" sqref="C73">
      <formula1>"Barbell Front Squat,Double-Dumbbell Front Squat,Barbell Back Squat"</formula1>
    </dataValidation>
    <dataValidation type="list" allowBlank="1" showInputMessage="1" prompt="This will be your main bench press variation for the phase." sqref="C27">
      <formula1>"1-Arm Dumbbell Row,Bent-Over Barbell Row,T-Bar Machine Rows"</formula1>
    </dataValidation>
    <dataValidation type="list" allowBlank="1" sqref="C119">
      <formula1>"Barbell Front Squat,Double-Dumbbell Front Squat,Barbell Back Squat"</formula1>
    </dataValidation>
    <dataValidation type="list" allowBlank="1" sqref="C145">
      <formula1>"Swiss Ball Rollouts,Hand Walkouts"</formula1>
    </dataValidation>
    <dataValidation type="list" allowBlank="1" sqref="C155">
      <formula1>"Close-Grip Push-Ups,Raised Close-Grip Push-Ups,Knee Close-Grip Push-Ups"</formula1>
    </dataValidation>
    <dataValidation type="list" allowBlank="1" showInputMessage="1" prompt="If in doubt, choose the variation you can lift the most weight with." sqref="C53">
      <formula1>"Swiss Ball Rollouts,Hand Walkouts"</formula1>
    </dataValidation>
    <dataValidation type="list" allowBlank="1" showInputMessage="1" prompt="If in doubt, choose the variation you can lift the most weight with." sqref="C68">
      <formula1>"Chin-Ups,Lowered Chin-Ups,Underhand Rows"</formula1>
    </dataValidation>
    <dataValidation type="list" allowBlank="1" showInputMessage="1" prompt="If in doubt, choose the variation you can lift the most weight with." sqref="C86">
      <formula1>"Barbell Romanian Deadlifts,Dumbbell Romanian Deadlifts,1-Leg Romanian Deadlifts"</formula1>
    </dataValidation>
    <dataValidation type="list" allowBlank="1" showInputMessage="1" prompt="If in doubt, choose the variation you can lift the most weight with." sqref="C94">
      <formula1>"1/2 Kneeling Pallof Press,1/2 Kneeling Palloff Press on Wall,Side Plank"</formula1>
    </dataValidation>
    <dataValidation type="list" allowBlank="1" showInputMessage="1" prompt="This will be your main bench press variation for the phase." sqref="C45">
      <formula1>"TYIs on Flat Bench,Bent-Over Reverse Fly"</formula1>
    </dataValidation>
    <dataValidation type="list" allowBlank="1" sqref="C124">
      <formula1>"Chin-Ups,Lowered Chin-Ups,Underhand Rows"</formula1>
    </dataValidation>
  </dataValidations>
  <hyperlinks>
    <hyperlink r:id="rId1" ref="K3"/>
    <hyperlink r:id="rId2" ref="K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8B8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15.75"/>
    <col customWidth="1" min="4" max="4" width="16.38"/>
    <col customWidth="1" min="5" max="13" width="9.5"/>
  </cols>
  <sheetData>
    <row r="1">
      <c r="A1" s="1"/>
    </row>
    <row r="2" ht="15.75" customHeight="1">
      <c r="B2" s="64"/>
      <c r="C2" s="65"/>
      <c r="D2" s="65"/>
      <c r="E2" s="65"/>
      <c r="F2" s="66"/>
      <c r="G2" s="66"/>
      <c r="H2" s="66"/>
      <c r="I2" s="66"/>
      <c r="J2" s="67"/>
      <c r="K2" s="67"/>
      <c r="L2" s="68"/>
    </row>
    <row r="3" ht="15.0" customHeight="1">
      <c r="B3" s="69"/>
      <c r="C3" s="8"/>
      <c r="F3" s="9" t="s">
        <v>255</v>
      </c>
      <c r="G3" s="9"/>
      <c r="H3" s="70" t="s">
        <v>26</v>
      </c>
      <c r="I3" s="71">
        <v>45658.0</v>
      </c>
      <c r="J3" s="71"/>
      <c r="K3" s="11" t="s">
        <v>1</v>
      </c>
      <c r="L3" s="72"/>
    </row>
    <row r="4" ht="15.0" customHeight="1">
      <c r="B4" s="69"/>
      <c r="F4" s="13" t="s">
        <v>27</v>
      </c>
      <c r="G4" s="13"/>
      <c r="H4" s="73" t="s">
        <v>28</v>
      </c>
      <c r="I4" s="74" t="s">
        <v>29</v>
      </c>
      <c r="J4" s="74"/>
      <c r="K4" s="14" t="s">
        <v>3</v>
      </c>
      <c r="L4" s="72"/>
      <c r="M4" s="75"/>
    </row>
    <row r="5">
      <c r="B5" s="69"/>
      <c r="C5" s="7"/>
      <c r="D5" s="7"/>
      <c r="E5" s="7"/>
      <c r="F5" s="76"/>
      <c r="G5" s="76"/>
      <c r="H5" s="76"/>
      <c r="I5" s="76"/>
      <c r="J5" s="77"/>
      <c r="K5" s="77"/>
      <c r="L5" s="78"/>
      <c r="M5" s="79"/>
    </row>
    <row r="6" ht="13.5" customHeight="1">
      <c r="B6" s="20" t="s">
        <v>256</v>
      </c>
      <c r="C6" s="21"/>
      <c r="D6" s="21"/>
      <c r="E6" s="21"/>
      <c r="F6" s="21"/>
      <c r="G6" s="21"/>
      <c r="H6" s="21"/>
      <c r="I6" s="21"/>
      <c r="J6" s="21"/>
      <c r="K6" s="21"/>
      <c r="L6" s="80"/>
    </row>
    <row r="7" ht="13.5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81"/>
    </row>
    <row r="8" ht="16.5" customHeight="1">
      <c r="B8" s="82"/>
      <c r="C8" s="83" t="s">
        <v>31</v>
      </c>
      <c r="D8" s="84"/>
      <c r="E8" s="85" t="s">
        <v>32</v>
      </c>
      <c r="F8" s="86" t="s">
        <v>33</v>
      </c>
      <c r="G8" s="87" t="s">
        <v>34</v>
      </c>
      <c r="H8" s="88" t="s">
        <v>35</v>
      </c>
      <c r="I8" s="88" t="s">
        <v>36</v>
      </c>
      <c r="J8" s="88" t="s">
        <v>37</v>
      </c>
      <c r="K8" s="88" t="s">
        <v>38</v>
      </c>
      <c r="L8" s="89" t="s">
        <v>39</v>
      </c>
    </row>
    <row r="9" ht="16.5" customHeight="1">
      <c r="B9" s="90"/>
      <c r="C9" s="91" t="s">
        <v>257</v>
      </c>
      <c r="D9" s="92"/>
      <c r="E9" s="93">
        <v>1.0</v>
      </c>
      <c r="F9" s="94">
        <v>2.0</v>
      </c>
      <c r="G9" s="95">
        <f t="shared" ref="G9:G13" si="1">IF(C$9="1-Leg Dumbbell Romanian Deadlift","10/Side",6)</f>
        <v>6</v>
      </c>
      <c r="H9" s="96"/>
      <c r="I9" s="94"/>
      <c r="J9" s="94"/>
      <c r="K9" s="97"/>
      <c r="L9" s="98"/>
      <c r="M9" s="75"/>
    </row>
    <row r="10" ht="16.5" customHeight="1">
      <c r="B10" s="99"/>
      <c r="C10" s="100" t="s">
        <v>258</v>
      </c>
      <c r="D10" s="101"/>
      <c r="E10" s="102">
        <v>2.0</v>
      </c>
      <c r="F10" s="103">
        <v>3.0</v>
      </c>
      <c r="G10" s="104">
        <f t="shared" si="1"/>
        <v>6</v>
      </c>
      <c r="H10" s="105"/>
      <c r="I10" s="103"/>
      <c r="J10" s="103"/>
      <c r="K10" s="106"/>
      <c r="L10" s="107"/>
      <c r="M10" s="75"/>
    </row>
    <row r="11" ht="16.5" customHeight="1">
      <c r="B11" s="99"/>
      <c r="C11" s="100" t="s">
        <v>259</v>
      </c>
      <c r="D11" s="101"/>
      <c r="E11" s="102">
        <v>3.0</v>
      </c>
      <c r="F11" s="103">
        <v>4.0</v>
      </c>
      <c r="G11" s="104">
        <f t="shared" si="1"/>
        <v>6</v>
      </c>
      <c r="H11" s="105"/>
      <c r="I11" s="103"/>
      <c r="J11" s="103"/>
      <c r="K11" s="103"/>
      <c r="L11" s="107"/>
      <c r="M11" s="75"/>
    </row>
    <row r="12" ht="16.5" customHeight="1">
      <c r="B12" s="108"/>
      <c r="C12" s="109"/>
      <c r="D12" s="101"/>
      <c r="E12" s="102">
        <v>4.0</v>
      </c>
      <c r="F12" s="103">
        <v>4.0</v>
      </c>
      <c r="G12" s="104">
        <f t="shared" si="1"/>
        <v>6</v>
      </c>
      <c r="H12" s="105"/>
      <c r="I12" s="103"/>
      <c r="J12" s="103"/>
      <c r="K12" s="103"/>
      <c r="L12" s="107"/>
      <c r="M12" s="75"/>
    </row>
    <row r="13" ht="16.5" customHeight="1">
      <c r="B13" s="127"/>
      <c r="C13" s="111" t="str">
        <f>iferror(vlookup(LEFT(C9,LEN(C9)-2)&amp;"*",ExcerciseLookup,3,FALSE),"")</f>
        <v>Video Tutorial</v>
      </c>
      <c r="D13" s="112"/>
      <c r="E13" s="128">
        <v>5.0</v>
      </c>
      <c r="F13" s="129">
        <v>5.0</v>
      </c>
      <c r="G13" s="130">
        <f t="shared" si="1"/>
        <v>6</v>
      </c>
      <c r="H13" s="131"/>
      <c r="I13" s="129"/>
      <c r="J13" s="129"/>
      <c r="K13" s="129"/>
      <c r="L13" s="132"/>
      <c r="M13" s="75"/>
    </row>
    <row r="14" ht="16.5" customHeight="1">
      <c r="B14" s="118"/>
      <c r="C14" s="119" t="s">
        <v>260</v>
      </c>
      <c r="D14" s="120"/>
      <c r="E14" s="121">
        <v>1.0</v>
      </c>
      <c r="F14" s="122">
        <v>2.0</v>
      </c>
      <c r="G14" s="123">
        <f t="shared" ref="G14:G18" si="2">IF(C$14="Dumbbell Biceps Curl",8,6)</f>
        <v>6</v>
      </c>
      <c r="H14" s="124"/>
      <c r="I14" s="122"/>
      <c r="J14" s="122"/>
      <c r="K14" s="125"/>
      <c r="L14" s="126"/>
      <c r="M14" s="75"/>
    </row>
    <row r="15" ht="16.5" customHeight="1">
      <c r="B15" s="99"/>
      <c r="C15" s="100" t="s">
        <v>261</v>
      </c>
      <c r="D15" s="101"/>
      <c r="E15" s="102">
        <v>2.0</v>
      </c>
      <c r="F15" s="103">
        <v>3.0</v>
      </c>
      <c r="G15" s="104">
        <f t="shared" si="2"/>
        <v>6</v>
      </c>
      <c r="H15" s="105"/>
      <c r="I15" s="103"/>
      <c r="J15" s="103"/>
      <c r="K15" s="103"/>
      <c r="L15" s="107"/>
      <c r="M15" s="75"/>
    </row>
    <row r="16" ht="16.5" customHeight="1">
      <c r="B16" s="99"/>
      <c r="C16" s="100" t="s">
        <v>262</v>
      </c>
      <c r="D16" s="101"/>
      <c r="E16" s="102">
        <v>3.0</v>
      </c>
      <c r="F16" s="103">
        <v>4.0</v>
      </c>
      <c r="G16" s="104">
        <f t="shared" si="2"/>
        <v>6</v>
      </c>
      <c r="H16" s="105"/>
      <c r="I16" s="103"/>
      <c r="J16" s="103"/>
      <c r="K16" s="103"/>
      <c r="L16" s="107"/>
      <c r="M16" s="75"/>
    </row>
    <row r="17" ht="16.5" customHeight="1">
      <c r="B17" s="108"/>
      <c r="C17" s="100"/>
      <c r="D17" s="101"/>
      <c r="E17" s="102">
        <v>4.0</v>
      </c>
      <c r="F17" s="103">
        <v>4.0</v>
      </c>
      <c r="G17" s="104">
        <f t="shared" si="2"/>
        <v>6</v>
      </c>
      <c r="H17" s="105"/>
      <c r="I17" s="103"/>
      <c r="J17" s="103"/>
      <c r="K17" s="103"/>
      <c r="L17" s="107"/>
      <c r="M17" s="75"/>
    </row>
    <row r="18" ht="16.5" customHeight="1">
      <c r="B18" s="127"/>
      <c r="C18" s="111" t="str">
        <f>iferror(vlookup(LEFT(C14,LEN(C14)-2)&amp;"*",ExcerciseLookup,3,FALSE),"")</f>
        <v>Video Tutorial</v>
      </c>
      <c r="D18" s="112"/>
      <c r="E18" s="128">
        <v>5.0</v>
      </c>
      <c r="F18" s="129">
        <v>5.0</v>
      </c>
      <c r="G18" s="130">
        <f t="shared" si="2"/>
        <v>6</v>
      </c>
      <c r="H18" s="131"/>
      <c r="I18" s="129"/>
      <c r="J18" s="129"/>
      <c r="K18" s="129"/>
      <c r="L18" s="132"/>
      <c r="M18" s="75"/>
    </row>
    <row r="19" ht="13.5" customHeight="1">
      <c r="B19" s="20" t="s">
        <v>263</v>
      </c>
      <c r="C19" s="21"/>
      <c r="D19" s="21"/>
      <c r="E19" s="21"/>
      <c r="F19" s="21"/>
      <c r="G19" s="21"/>
      <c r="H19" s="21"/>
      <c r="I19" s="21"/>
      <c r="J19" s="21"/>
      <c r="K19" s="21"/>
      <c r="L19" s="80"/>
    </row>
    <row r="20" ht="13.5" customHeight="1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81"/>
    </row>
    <row r="21" ht="16.5" customHeight="1">
      <c r="B21" s="82"/>
      <c r="C21" s="83" t="s">
        <v>31</v>
      </c>
      <c r="D21" s="84"/>
      <c r="E21" s="85" t="s">
        <v>32</v>
      </c>
      <c r="F21" s="86" t="s">
        <v>33</v>
      </c>
      <c r="G21" s="87" t="s">
        <v>34</v>
      </c>
      <c r="H21" s="88" t="s">
        <v>35</v>
      </c>
      <c r="I21" s="88" t="s">
        <v>36</v>
      </c>
      <c r="J21" s="88" t="s">
        <v>37</v>
      </c>
      <c r="K21" s="88" t="s">
        <v>38</v>
      </c>
      <c r="L21" s="89" t="s">
        <v>39</v>
      </c>
    </row>
    <row r="22" ht="16.5" customHeight="1">
      <c r="B22" s="90"/>
      <c r="C22" s="91" t="s">
        <v>264</v>
      </c>
      <c r="D22" s="92"/>
      <c r="E22" s="93">
        <v>1.0</v>
      </c>
      <c r="F22" s="94">
        <v>2.0</v>
      </c>
      <c r="G22" s="95" t="str">
        <f t="shared" ref="G22:G26" si="3">IF(C$22="Alternating Dumbbell Bench Press","10/Side",8)</f>
        <v>10/Side</v>
      </c>
      <c r="H22" s="96"/>
      <c r="I22" s="94"/>
      <c r="J22" s="94"/>
      <c r="K22" s="97"/>
      <c r="L22" s="98"/>
      <c r="M22" s="75"/>
    </row>
    <row r="23" ht="16.5" customHeight="1">
      <c r="B23" s="99"/>
      <c r="C23" s="100" t="s">
        <v>265</v>
      </c>
      <c r="D23" s="101"/>
      <c r="E23" s="102">
        <v>2.0</v>
      </c>
      <c r="F23" s="103">
        <v>3.0</v>
      </c>
      <c r="G23" s="104" t="str">
        <f t="shared" si="3"/>
        <v>10/Side</v>
      </c>
      <c r="H23" s="105"/>
      <c r="I23" s="103"/>
      <c r="J23" s="103"/>
      <c r="K23" s="106"/>
      <c r="L23" s="107"/>
      <c r="M23" s="75"/>
    </row>
    <row r="24" ht="16.5" customHeight="1">
      <c r="B24" s="99"/>
      <c r="C24" s="100" t="s">
        <v>266</v>
      </c>
      <c r="D24" s="101"/>
      <c r="E24" s="102">
        <v>3.0</v>
      </c>
      <c r="F24" s="103">
        <v>3.0</v>
      </c>
      <c r="G24" s="104" t="str">
        <f t="shared" si="3"/>
        <v>10/Side</v>
      </c>
      <c r="H24" s="105"/>
      <c r="I24" s="103"/>
      <c r="J24" s="103"/>
      <c r="K24" s="103"/>
      <c r="L24" s="107"/>
      <c r="M24" s="75"/>
    </row>
    <row r="25" ht="16.5" customHeight="1">
      <c r="B25" s="108"/>
      <c r="C25" s="109"/>
      <c r="D25" s="101"/>
      <c r="E25" s="102">
        <v>4.0</v>
      </c>
      <c r="F25" s="103">
        <v>3.0</v>
      </c>
      <c r="G25" s="104" t="str">
        <f t="shared" si="3"/>
        <v>10/Side</v>
      </c>
      <c r="H25" s="105"/>
      <c r="I25" s="103"/>
      <c r="J25" s="103"/>
      <c r="K25" s="103"/>
      <c r="L25" s="107"/>
      <c r="M25" s="75"/>
    </row>
    <row r="26" ht="16.5" customHeight="1">
      <c r="B26" s="127"/>
      <c r="C26" s="111" t="str">
        <f>iferror(vlookup(LEFT(C22,LEN(C22)-2)&amp;"*",ExcerciseLookup,3,FALSE),"")</f>
        <v>Video Tutorial</v>
      </c>
      <c r="D26" s="112"/>
      <c r="E26" s="128">
        <v>5.0</v>
      </c>
      <c r="F26" s="129">
        <v>4.0</v>
      </c>
      <c r="G26" s="130" t="str">
        <f t="shared" si="3"/>
        <v>10/Side</v>
      </c>
      <c r="H26" s="131"/>
      <c r="I26" s="129"/>
      <c r="J26" s="129"/>
      <c r="K26" s="129"/>
      <c r="L26" s="132"/>
      <c r="M26" s="75"/>
    </row>
    <row r="27" ht="16.5" customHeight="1">
      <c r="B27" s="118"/>
      <c r="C27" s="119" t="s">
        <v>267</v>
      </c>
      <c r="D27" s="120"/>
      <c r="E27" s="121">
        <v>1.0</v>
      </c>
      <c r="F27" s="122">
        <v>2.0</v>
      </c>
      <c r="G27" s="123" t="str">
        <f t="shared" ref="G27:G31" si="4">IF(C$27="Bent-Over Dumbbell Row","10/Side",15)</f>
        <v>10/Side</v>
      </c>
      <c r="H27" s="124"/>
      <c r="I27" s="122"/>
      <c r="J27" s="122"/>
      <c r="K27" s="125"/>
      <c r="L27" s="126"/>
      <c r="M27" s="75"/>
    </row>
    <row r="28" ht="16.5" customHeight="1">
      <c r="B28" s="99"/>
      <c r="C28" s="100" t="s">
        <v>268</v>
      </c>
      <c r="D28" s="101"/>
      <c r="E28" s="102">
        <v>2.0</v>
      </c>
      <c r="F28" s="103">
        <v>3.0</v>
      </c>
      <c r="G28" s="104" t="str">
        <f t="shared" si="4"/>
        <v>10/Side</v>
      </c>
      <c r="H28" s="105"/>
      <c r="I28" s="103"/>
      <c r="J28" s="103"/>
      <c r="K28" s="103"/>
      <c r="L28" s="107"/>
      <c r="M28" s="75"/>
    </row>
    <row r="29" ht="16.5" customHeight="1">
      <c r="B29" s="99"/>
      <c r="C29" s="100" t="s">
        <v>269</v>
      </c>
      <c r="D29" s="101"/>
      <c r="E29" s="102">
        <v>3.0</v>
      </c>
      <c r="F29" s="103">
        <v>3.0</v>
      </c>
      <c r="G29" s="104" t="str">
        <f t="shared" si="4"/>
        <v>10/Side</v>
      </c>
      <c r="H29" s="105"/>
      <c r="I29" s="103"/>
      <c r="J29" s="103"/>
      <c r="K29" s="103"/>
      <c r="L29" s="107"/>
      <c r="M29" s="75"/>
    </row>
    <row r="30" ht="16.5" customHeight="1">
      <c r="B30" s="108"/>
      <c r="C30" s="100"/>
      <c r="D30" s="101"/>
      <c r="E30" s="102">
        <v>4.0</v>
      </c>
      <c r="F30" s="103">
        <v>3.0</v>
      </c>
      <c r="G30" s="104" t="str">
        <f t="shared" si="4"/>
        <v>10/Side</v>
      </c>
      <c r="H30" s="105"/>
      <c r="I30" s="103"/>
      <c r="J30" s="103"/>
      <c r="K30" s="103"/>
      <c r="L30" s="107"/>
      <c r="M30" s="75"/>
    </row>
    <row r="31" ht="16.5" customHeight="1">
      <c r="B31" s="127"/>
      <c r="C31" s="135" t="str">
        <f>iferror(vlookup(LEFT(C27,LEN(C27)-2)&amp;"*",ExcerciseLookup,3,FALSE),"")</f>
        <v/>
      </c>
      <c r="D31" s="112"/>
      <c r="E31" s="128">
        <v>5.0</v>
      </c>
      <c r="F31" s="129">
        <v>4.0</v>
      </c>
      <c r="G31" s="130" t="str">
        <f t="shared" si="4"/>
        <v>10/Side</v>
      </c>
      <c r="H31" s="131"/>
      <c r="I31" s="129"/>
      <c r="J31" s="129"/>
      <c r="K31" s="129"/>
      <c r="L31" s="132"/>
      <c r="M31" s="75"/>
    </row>
    <row r="32" ht="13.5" customHeight="1">
      <c r="B32" s="20" t="s">
        <v>270</v>
      </c>
      <c r="C32" s="21"/>
      <c r="D32" s="21"/>
      <c r="E32" s="21"/>
      <c r="F32" s="21"/>
      <c r="G32" s="21"/>
      <c r="H32" s="21"/>
      <c r="I32" s="21"/>
      <c r="J32" s="21"/>
      <c r="K32" s="21"/>
      <c r="L32" s="80"/>
    </row>
    <row r="33" ht="13.5" customHeigh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81"/>
    </row>
    <row r="34" ht="16.5" customHeight="1">
      <c r="B34" s="82"/>
      <c r="C34" s="83" t="s">
        <v>31</v>
      </c>
      <c r="D34" s="84"/>
      <c r="E34" s="85" t="s">
        <v>32</v>
      </c>
      <c r="F34" s="86" t="s">
        <v>33</v>
      </c>
      <c r="G34" s="87" t="s">
        <v>34</v>
      </c>
      <c r="H34" s="88" t="s">
        <v>35</v>
      </c>
      <c r="I34" s="88" t="s">
        <v>36</v>
      </c>
      <c r="J34" s="88" t="s">
        <v>37</v>
      </c>
      <c r="K34" s="88" t="s">
        <v>38</v>
      </c>
      <c r="L34" s="89" t="s">
        <v>39</v>
      </c>
    </row>
    <row r="35" ht="16.5" customHeight="1">
      <c r="B35" s="90"/>
      <c r="C35" s="91" t="s">
        <v>271</v>
      </c>
      <c r="D35" s="92"/>
      <c r="E35" s="93">
        <v>1.0</v>
      </c>
      <c r="F35" s="94">
        <v>2.0</v>
      </c>
      <c r="G35" s="95" t="s">
        <v>42</v>
      </c>
      <c r="H35" s="96"/>
      <c r="I35" s="94"/>
      <c r="J35" s="94"/>
      <c r="K35" s="97"/>
      <c r="L35" s="98"/>
      <c r="M35" s="75"/>
    </row>
    <row r="36" ht="16.5" customHeight="1">
      <c r="B36" s="99"/>
      <c r="C36" s="100" t="s">
        <v>272</v>
      </c>
      <c r="D36" s="101"/>
      <c r="E36" s="102">
        <v>2.0</v>
      </c>
      <c r="F36" s="103">
        <v>2.0</v>
      </c>
      <c r="G36" s="104" t="s">
        <v>42</v>
      </c>
      <c r="H36" s="105"/>
      <c r="I36" s="103"/>
      <c r="J36" s="103"/>
      <c r="K36" s="106"/>
      <c r="L36" s="107"/>
      <c r="M36" s="75"/>
    </row>
    <row r="37" ht="16.5" customHeight="1">
      <c r="B37" s="99"/>
      <c r="C37" s="100" t="s">
        <v>273</v>
      </c>
      <c r="D37" s="101"/>
      <c r="E37" s="102">
        <v>3.0</v>
      </c>
      <c r="F37" s="103">
        <v>3.0</v>
      </c>
      <c r="G37" s="104" t="s">
        <v>42</v>
      </c>
      <c r="H37" s="105"/>
      <c r="I37" s="103"/>
      <c r="J37" s="103"/>
      <c r="K37" s="103"/>
      <c r="L37" s="107"/>
      <c r="M37" s="75"/>
    </row>
    <row r="38" ht="16.5" customHeight="1">
      <c r="B38" s="108"/>
      <c r="C38" s="109"/>
      <c r="D38" s="101"/>
      <c r="E38" s="102">
        <v>4.0</v>
      </c>
      <c r="F38" s="103">
        <v>3.0</v>
      </c>
      <c r="G38" s="104" t="s">
        <v>42</v>
      </c>
      <c r="H38" s="105"/>
      <c r="I38" s="103"/>
      <c r="J38" s="103"/>
      <c r="K38" s="103"/>
      <c r="L38" s="107"/>
      <c r="M38" s="75"/>
    </row>
    <row r="39" ht="16.5" customHeight="1">
      <c r="B39" s="127"/>
      <c r="C39" s="111" t="str">
        <f>iferror(vlookup(LEFT(C35,LEN(C35)-2)&amp;"*",ExcerciseLookup,3,FALSE),"")</f>
        <v>Video Tutorial</v>
      </c>
      <c r="D39" s="112"/>
      <c r="E39" s="128">
        <v>5.0</v>
      </c>
      <c r="F39" s="129">
        <v>3.0</v>
      </c>
      <c r="G39" s="130" t="s">
        <v>42</v>
      </c>
      <c r="H39" s="131"/>
      <c r="I39" s="129"/>
      <c r="J39" s="129"/>
      <c r="K39" s="129"/>
      <c r="L39" s="132"/>
      <c r="M39" s="75"/>
    </row>
    <row r="40" ht="16.5" customHeight="1">
      <c r="B40" s="118"/>
      <c r="C40" s="119" t="s">
        <v>22</v>
      </c>
      <c r="D40" s="120"/>
      <c r="E40" s="121">
        <v>1.0</v>
      </c>
      <c r="F40" s="122">
        <v>2.0</v>
      </c>
      <c r="G40" s="123" t="s">
        <v>42</v>
      </c>
      <c r="H40" s="124"/>
      <c r="I40" s="122"/>
      <c r="J40" s="122"/>
      <c r="K40" s="125"/>
      <c r="L40" s="126"/>
      <c r="M40" s="75"/>
    </row>
    <row r="41" ht="16.5" customHeight="1">
      <c r="B41" s="99"/>
      <c r="C41" s="100" t="s">
        <v>274</v>
      </c>
      <c r="D41" s="101"/>
      <c r="E41" s="102">
        <v>2.0</v>
      </c>
      <c r="F41" s="103">
        <v>2.0</v>
      </c>
      <c r="G41" s="104" t="s">
        <v>42</v>
      </c>
      <c r="H41" s="105"/>
      <c r="I41" s="103"/>
      <c r="J41" s="103"/>
      <c r="K41" s="103"/>
      <c r="L41" s="107"/>
      <c r="M41" s="75"/>
    </row>
    <row r="42" ht="16.5" customHeight="1">
      <c r="B42" s="99"/>
      <c r="C42" s="100" t="s">
        <v>275</v>
      </c>
      <c r="D42" s="101"/>
      <c r="E42" s="102">
        <v>3.0</v>
      </c>
      <c r="F42" s="103">
        <v>3.0</v>
      </c>
      <c r="G42" s="104" t="s">
        <v>42</v>
      </c>
      <c r="H42" s="105"/>
      <c r="I42" s="103"/>
      <c r="J42" s="103"/>
      <c r="K42" s="103"/>
      <c r="L42" s="107"/>
      <c r="M42" s="75"/>
    </row>
    <row r="43" ht="16.5" customHeight="1">
      <c r="B43" s="108"/>
      <c r="C43" s="100"/>
      <c r="D43" s="101"/>
      <c r="E43" s="102">
        <v>4.0</v>
      </c>
      <c r="F43" s="103">
        <v>3.0</v>
      </c>
      <c r="G43" s="104" t="s">
        <v>42</v>
      </c>
      <c r="H43" s="105"/>
      <c r="I43" s="103"/>
      <c r="J43" s="103"/>
      <c r="K43" s="103"/>
      <c r="L43" s="107"/>
      <c r="M43" s="75"/>
    </row>
    <row r="44" ht="16.5" customHeight="1">
      <c r="B44" s="127"/>
      <c r="C44" s="111" t="str">
        <f>iferror(vlookup(LEFT(C40,LEN(C40)-2)&amp;"*",ExcerciseLookup,3,FALSE),"")</f>
        <v>Video Tutorial</v>
      </c>
      <c r="D44" s="112"/>
      <c r="E44" s="128">
        <v>5.0</v>
      </c>
      <c r="F44" s="129">
        <v>3.0</v>
      </c>
      <c r="G44" s="130" t="s">
        <v>42</v>
      </c>
      <c r="H44" s="131"/>
      <c r="I44" s="129"/>
      <c r="J44" s="129"/>
      <c r="K44" s="129"/>
      <c r="L44" s="132"/>
      <c r="M44" s="75"/>
    </row>
    <row r="45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  <row r="46"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  <row r="47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</row>
    <row r="48" ht="15.75" customHeight="1">
      <c r="B48" s="64"/>
      <c r="C48" s="65"/>
      <c r="D48" s="65"/>
      <c r="E48" s="65"/>
      <c r="F48" s="66"/>
      <c r="G48" s="66"/>
      <c r="H48" s="66"/>
      <c r="I48" s="66"/>
      <c r="J48" s="67"/>
      <c r="K48" s="67"/>
      <c r="L48" s="68"/>
    </row>
    <row r="49" ht="15.0" customHeight="1">
      <c r="B49" s="69"/>
      <c r="C49" s="8"/>
      <c r="F49" s="9" t="s">
        <v>276</v>
      </c>
      <c r="G49" s="9"/>
      <c r="H49" s="70"/>
      <c r="I49" s="71"/>
      <c r="J49" s="71"/>
      <c r="K49" s="11"/>
      <c r="L49" s="72"/>
    </row>
    <row r="50" ht="15.0" customHeight="1">
      <c r="B50" s="69"/>
      <c r="F50" s="13" t="s">
        <v>72</v>
      </c>
      <c r="G50" s="13"/>
      <c r="H50" s="73"/>
      <c r="I50" s="74"/>
      <c r="J50" s="74"/>
      <c r="K50" s="14"/>
      <c r="L50" s="72"/>
      <c r="M50" s="75"/>
    </row>
    <row r="51">
      <c r="B51" s="69"/>
      <c r="C51" s="7"/>
      <c r="D51" s="7"/>
      <c r="E51" s="7"/>
      <c r="F51" s="76"/>
      <c r="G51" s="76"/>
      <c r="H51" s="76"/>
      <c r="I51" s="76"/>
      <c r="J51" s="77"/>
      <c r="K51" s="77"/>
      <c r="L51" s="78"/>
      <c r="M51" s="79"/>
    </row>
    <row r="52" ht="13.5" customHeight="1">
      <c r="B52" s="20" t="s">
        <v>277</v>
      </c>
      <c r="C52" s="21"/>
      <c r="D52" s="21"/>
      <c r="E52" s="21"/>
      <c r="F52" s="21"/>
      <c r="G52" s="21"/>
      <c r="H52" s="21"/>
      <c r="I52" s="21"/>
      <c r="J52" s="21"/>
      <c r="K52" s="21"/>
      <c r="L52" s="80"/>
    </row>
    <row r="53" ht="13.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81"/>
    </row>
    <row r="54">
      <c r="B54" s="82"/>
      <c r="C54" s="83" t="s">
        <v>31</v>
      </c>
      <c r="D54" s="84"/>
      <c r="E54" s="85" t="s">
        <v>32</v>
      </c>
      <c r="F54" s="86" t="s">
        <v>33</v>
      </c>
      <c r="G54" s="87" t="s">
        <v>34</v>
      </c>
      <c r="H54" s="88" t="s">
        <v>35</v>
      </c>
      <c r="I54" s="88" t="s">
        <v>36</v>
      </c>
      <c r="J54" s="88" t="s">
        <v>37</v>
      </c>
      <c r="K54" s="88" t="s">
        <v>38</v>
      </c>
      <c r="L54" s="89" t="s">
        <v>39</v>
      </c>
    </row>
    <row r="55">
      <c r="B55" s="90"/>
      <c r="C55" s="91" t="s">
        <v>213</v>
      </c>
      <c r="D55" s="92"/>
      <c r="E55" s="93">
        <v>1.0</v>
      </c>
      <c r="F55" s="94">
        <v>2.0</v>
      </c>
      <c r="G55" s="95" t="str">
        <f t="shared" ref="G55:G59" si="5">IF(C$55="Chin-Ups","AMRAP",8)</f>
        <v>AMRAP</v>
      </c>
      <c r="H55" s="96"/>
      <c r="I55" s="94"/>
      <c r="J55" s="94"/>
      <c r="K55" s="97"/>
      <c r="L55" s="98"/>
    </row>
    <row r="56">
      <c r="B56" s="99"/>
      <c r="C56" s="100" t="s">
        <v>278</v>
      </c>
      <c r="D56" s="101"/>
      <c r="E56" s="102">
        <v>2.0</v>
      </c>
      <c r="F56" s="103">
        <v>3.0</v>
      </c>
      <c r="G56" s="104" t="str">
        <f t="shared" si="5"/>
        <v>AMRAP</v>
      </c>
      <c r="H56" s="105"/>
      <c r="I56" s="103"/>
      <c r="J56" s="103"/>
      <c r="K56" s="106"/>
      <c r="L56" s="107"/>
    </row>
    <row r="57">
      <c r="B57" s="99"/>
      <c r="C57" s="100" t="s">
        <v>279</v>
      </c>
      <c r="D57" s="101"/>
      <c r="E57" s="102">
        <v>3.0</v>
      </c>
      <c r="F57" s="103">
        <v>3.0</v>
      </c>
      <c r="G57" s="104" t="str">
        <f t="shared" si="5"/>
        <v>AMRAP</v>
      </c>
      <c r="H57" s="105"/>
      <c r="I57" s="103"/>
      <c r="J57" s="103"/>
      <c r="K57" s="103"/>
      <c r="L57" s="107"/>
      <c r="M57" s="75"/>
    </row>
    <row r="58">
      <c r="B58" s="108"/>
      <c r="C58" s="109"/>
      <c r="D58" s="101"/>
      <c r="E58" s="102">
        <v>4.0</v>
      </c>
      <c r="F58" s="103">
        <v>4.0</v>
      </c>
      <c r="G58" s="104" t="str">
        <f t="shared" si="5"/>
        <v>AMRAP</v>
      </c>
      <c r="H58" s="105"/>
      <c r="I58" s="103"/>
      <c r="J58" s="103"/>
      <c r="K58" s="103"/>
      <c r="L58" s="107"/>
      <c r="M58" s="75"/>
    </row>
    <row r="59">
      <c r="B59" s="127"/>
      <c r="C59" s="111" t="str">
        <f>iferror(vlookup(LEFT(C55,LEN(C55)-2)&amp;"*",ExcerciseLookup,3,FALSE),"")</f>
        <v>Video Tutorial</v>
      </c>
      <c r="D59" s="112"/>
      <c r="E59" s="128">
        <v>5.0</v>
      </c>
      <c r="F59" s="129">
        <v>5.0</v>
      </c>
      <c r="G59" s="130" t="str">
        <f t="shared" si="5"/>
        <v>AMRAP</v>
      </c>
      <c r="H59" s="131"/>
      <c r="I59" s="129"/>
      <c r="J59" s="129"/>
      <c r="K59" s="129"/>
      <c r="L59" s="132"/>
      <c r="M59" s="75"/>
    </row>
    <row r="60">
      <c r="B60" s="118"/>
      <c r="C60" s="119" t="s">
        <v>216</v>
      </c>
      <c r="D60" s="120"/>
      <c r="E60" s="121">
        <v>1.0</v>
      </c>
      <c r="F60" s="122">
        <v>2.0</v>
      </c>
      <c r="G60" s="123">
        <f t="shared" ref="G60:G64" si="6">IF(C$60="Double-Dumbbell Front Squat","12",3)</f>
        <v>3</v>
      </c>
      <c r="H60" s="124"/>
      <c r="I60" s="122"/>
      <c r="J60" s="122"/>
      <c r="K60" s="125"/>
      <c r="L60" s="126"/>
      <c r="M60" s="75"/>
    </row>
    <row r="61">
      <c r="B61" s="99"/>
      <c r="C61" s="100" t="s">
        <v>280</v>
      </c>
      <c r="D61" s="101"/>
      <c r="E61" s="102">
        <v>2.0</v>
      </c>
      <c r="F61" s="103">
        <v>3.0</v>
      </c>
      <c r="G61" s="104">
        <f t="shared" si="6"/>
        <v>3</v>
      </c>
      <c r="H61" s="105"/>
      <c r="I61" s="103"/>
      <c r="J61" s="103"/>
      <c r="K61" s="103"/>
      <c r="L61" s="107"/>
      <c r="M61" s="75"/>
    </row>
    <row r="62">
      <c r="B62" s="99"/>
      <c r="C62" s="100" t="s">
        <v>281</v>
      </c>
      <c r="D62" s="101"/>
      <c r="E62" s="102">
        <v>3.0</v>
      </c>
      <c r="F62" s="103">
        <v>4.0</v>
      </c>
      <c r="G62" s="104">
        <f t="shared" si="6"/>
        <v>3</v>
      </c>
      <c r="H62" s="105"/>
      <c r="I62" s="103"/>
      <c r="J62" s="103"/>
      <c r="K62" s="103"/>
      <c r="L62" s="107"/>
    </row>
    <row r="63">
      <c r="B63" s="108"/>
      <c r="C63" s="100"/>
      <c r="D63" s="101"/>
      <c r="E63" s="102">
        <v>4.0</v>
      </c>
      <c r="F63" s="103">
        <v>4.0</v>
      </c>
      <c r="G63" s="104">
        <f t="shared" si="6"/>
        <v>3</v>
      </c>
      <c r="H63" s="105"/>
      <c r="I63" s="103"/>
      <c r="J63" s="103"/>
      <c r="K63" s="103"/>
      <c r="L63" s="107"/>
    </row>
    <row r="64">
      <c r="B64" s="127"/>
      <c r="C64" s="111" t="str">
        <f>iferror(vlookup(LEFT(C60,LEN(C60)-2)&amp;"*",ExcerciseLookup,3,FALSE),"")</f>
        <v>Video Tutorial</v>
      </c>
      <c r="D64" s="112"/>
      <c r="E64" s="128">
        <v>5.0</v>
      </c>
      <c r="F64" s="129">
        <v>4.0</v>
      </c>
      <c r="G64" s="130">
        <f t="shared" si="6"/>
        <v>3</v>
      </c>
      <c r="H64" s="131"/>
      <c r="I64" s="129"/>
      <c r="J64" s="129"/>
      <c r="K64" s="129"/>
      <c r="L64" s="132"/>
    </row>
    <row r="65">
      <c r="B65" s="20" t="s">
        <v>282</v>
      </c>
      <c r="C65" s="21"/>
      <c r="D65" s="21"/>
      <c r="E65" s="21"/>
      <c r="F65" s="21"/>
      <c r="G65" s="21"/>
      <c r="H65" s="21"/>
      <c r="I65" s="21"/>
      <c r="J65" s="21"/>
      <c r="K65" s="21"/>
      <c r="L65" s="80"/>
    </row>
    <row r="66" ht="13.5" customHeight="1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81"/>
    </row>
    <row r="67">
      <c r="B67" s="82"/>
      <c r="C67" s="83" t="s">
        <v>31</v>
      </c>
      <c r="D67" s="84"/>
      <c r="E67" s="85" t="s">
        <v>32</v>
      </c>
      <c r="F67" s="86" t="s">
        <v>33</v>
      </c>
      <c r="G67" s="87" t="s">
        <v>34</v>
      </c>
      <c r="H67" s="88" t="s">
        <v>35</v>
      </c>
      <c r="I67" s="88" t="s">
        <v>36</v>
      </c>
      <c r="J67" s="88" t="s">
        <v>37</v>
      </c>
      <c r="K67" s="88" t="s">
        <v>38</v>
      </c>
      <c r="L67" s="89" t="s">
        <v>39</v>
      </c>
    </row>
    <row r="68">
      <c r="B68" s="90"/>
      <c r="C68" s="91" t="s">
        <v>240</v>
      </c>
      <c r="D68" s="92"/>
      <c r="E68" s="93">
        <v>1.0</v>
      </c>
      <c r="F68" s="94">
        <v>2.0</v>
      </c>
      <c r="G68" s="95" t="str">
        <f t="shared" ref="G68:G72" si="7">IF(C$68="1-Arm Incline Dumbbell Bench","10/Side",8)</f>
        <v>10/Side</v>
      </c>
      <c r="H68" s="96"/>
      <c r="I68" s="94"/>
      <c r="J68" s="94"/>
      <c r="K68" s="97"/>
      <c r="L68" s="98"/>
    </row>
    <row r="69">
      <c r="B69" s="99"/>
      <c r="C69" s="100" t="s">
        <v>283</v>
      </c>
      <c r="D69" s="101"/>
      <c r="E69" s="102">
        <v>2.0</v>
      </c>
      <c r="F69" s="103">
        <v>3.0</v>
      </c>
      <c r="G69" s="104" t="str">
        <f t="shared" si="7"/>
        <v>10/Side</v>
      </c>
      <c r="H69" s="105"/>
      <c r="I69" s="103"/>
      <c r="J69" s="103"/>
      <c r="K69" s="106"/>
      <c r="L69" s="107"/>
    </row>
    <row r="70">
      <c r="B70" s="99"/>
      <c r="C70" s="100" t="s">
        <v>284</v>
      </c>
      <c r="D70" s="101"/>
      <c r="E70" s="102">
        <v>3.0</v>
      </c>
      <c r="F70" s="103">
        <v>3.0</v>
      </c>
      <c r="G70" s="104" t="str">
        <f t="shared" si="7"/>
        <v>10/Side</v>
      </c>
      <c r="H70" s="105"/>
      <c r="I70" s="103"/>
      <c r="J70" s="103"/>
      <c r="K70" s="103"/>
      <c r="L70" s="107"/>
    </row>
    <row r="71">
      <c r="B71" s="108"/>
      <c r="C71" s="109"/>
      <c r="D71" s="101"/>
      <c r="E71" s="102">
        <v>4.0</v>
      </c>
      <c r="F71" s="103">
        <v>3.0</v>
      </c>
      <c r="G71" s="104" t="str">
        <f t="shared" si="7"/>
        <v>10/Side</v>
      </c>
      <c r="H71" s="105"/>
      <c r="I71" s="103"/>
      <c r="J71" s="103"/>
      <c r="K71" s="103"/>
      <c r="L71" s="107"/>
    </row>
    <row r="72">
      <c r="B72" s="127"/>
      <c r="C72" s="111" t="str">
        <f>iferror(vlookup(LEFT(C68,LEN(C68)-2)&amp;"*",ExcerciseLookup,3,FALSE),"")</f>
        <v>Video Tutorial</v>
      </c>
      <c r="D72" s="112"/>
      <c r="E72" s="128">
        <v>5.0</v>
      </c>
      <c r="F72" s="129">
        <v>3.0</v>
      </c>
      <c r="G72" s="130" t="str">
        <f t="shared" si="7"/>
        <v>10/Side</v>
      </c>
      <c r="H72" s="131"/>
      <c r="I72" s="129"/>
      <c r="J72" s="129"/>
      <c r="K72" s="129"/>
      <c r="L72" s="132"/>
    </row>
    <row r="73">
      <c r="B73" s="118"/>
      <c r="C73" s="119" t="s">
        <v>285</v>
      </c>
      <c r="D73" s="120"/>
      <c r="E73" s="121">
        <v>1.0</v>
      </c>
      <c r="F73" s="122">
        <v>2.0</v>
      </c>
      <c r="G73" s="123">
        <v>8.0</v>
      </c>
      <c r="H73" s="124"/>
      <c r="I73" s="122"/>
      <c r="J73" s="122"/>
      <c r="K73" s="125"/>
      <c r="L73" s="126"/>
    </row>
    <row r="74">
      <c r="B74" s="99"/>
      <c r="C74" s="100" t="s">
        <v>286</v>
      </c>
      <c r="D74" s="101"/>
      <c r="E74" s="102">
        <v>2.0</v>
      </c>
      <c r="F74" s="103">
        <v>3.0</v>
      </c>
      <c r="G74" s="104">
        <v>8.0</v>
      </c>
      <c r="H74" s="105"/>
      <c r="I74" s="103"/>
      <c r="J74" s="103"/>
      <c r="K74" s="103"/>
      <c r="L74" s="107"/>
    </row>
    <row r="75">
      <c r="B75" s="99"/>
      <c r="C75" s="100" t="s">
        <v>287</v>
      </c>
      <c r="D75" s="101"/>
      <c r="E75" s="102">
        <v>3.0</v>
      </c>
      <c r="F75" s="103">
        <v>3.0</v>
      </c>
      <c r="G75" s="104">
        <v>8.0</v>
      </c>
      <c r="H75" s="105"/>
      <c r="I75" s="103"/>
      <c r="J75" s="103"/>
      <c r="K75" s="103"/>
      <c r="L75" s="107"/>
    </row>
    <row r="76">
      <c r="B76" s="108"/>
      <c r="C76" s="100"/>
      <c r="D76" s="101"/>
      <c r="E76" s="102">
        <v>4.0</v>
      </c>
      <c r="F76" s="103">
        <v>4.0</v>
      </c>
      <c r="G76" s="104">
        <v>8.0</v>
      </c>
      <c r="H76" s="105"/>
      <c r="I76" s="103"/>
      <c r="J76" s="103"/>
      <c r="K76" s="103"/>
      <c r="L76" s="107"/>
    </row>
    <row r="77">
      <c r="B77" s="127"/>
      <c r="C77" s="111" t="str">
        <f>iferror(vlookup(LEFT(C73,LEN(C73)-2)&amp;"*",ExcerciseLookup,3,FALSE),"")</f>
        <v>Video Tutorial</v>
      </c>
      <c r="D77" s="112"/>
      <c r="E77" s="128">
        <v>5.0</v>
      </c>
      <c r="F77" s="129">
        <v>4.0</v>
      </c>
      <c r="G77" s="130">
        <v>8.0</v>
      </c>
      <c r="H77" s="131"/>
      <c r="I77" s="129"/>
      <c r="J77" s="129"/>
      <c r="K77" s="129"/>
      <c r="L77" s="132"/>
    </row>
    <row r="78" ht="13.5" customHeight="1">
      <c r="B78" s="20" t="s">
        <v>288</v>
      </c>
      <c r="C78" s="21"/>
      <c r="D78" s="21"/>
      <c r="E78" s="21"/>
      <c r="F78" s="21"/>
      <c r="G78" s="21"/>
      <c r="H78" s="21"/>
      <c r="I78" s="21"/>
      <c r="J78" s="21"/>
      <c r="K78" s="21"/>
      <c r="L78" s="80"/>
    </row>
    <row r="79" ht="13.5" customHeight="1"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81"/>
    </row>
    <row r="80">
      <c r="B80" s="82"/>
      <c r="C80" s="83" t="s">
        <v>31</v>
      </c>
      <c r="D80" s="84"/>
      <c r="E80" s="85" t="s">
        <v>32</v>
      </c>
      <c r="F80" s="86" t="s">
        <v>33</v>
      </c>
      <c r="G80" s="87" t="s">
        <v>34</v>
      </c>
      <c r="H80" s="88" t="s">
        <v>35</v>
      </c>
      <c r="I80" s="88" t="s">
        <v>36</v>
      </c>
      <c r="J80" s="88" t="s">
        <v>37</v>
      </c>
      <c r="K80" s="88" t="s">
        <v>38</v>
      </c>
      <c r="L80" s="89" t="s">
        <v>39</v>
      </c>
    </row>
    <row r="81">
      <c r="B81" s="90"/>
      <c r="C81" s="91" t="s">
        <v>289</v>
      </c>
      <c r="D81" s="92"/>
      <c r="E81" s="93">
        <v>1.0</v>
      </c>
      <c r="F81" s="94">
        <v>2.0</v>
      </c>
      <c r="G81" s="95" t="str">
        <f>IF(C$81="Racked Carry","30 Steps",10)</f>
        <v>30 Steps</v>
      </c>
      <c r="H81" s="96"/>
      <c r="I81" s="94"/>
      <c r="J81" s="94"/>
      <c r="K81" s="97"/>
      <c r="L81" s="98"/>
    </row>
    <row r="82">
      <c r="B82" s="99"/>
      <c r="C82" s="100" t="s">
        <v>290</v>
      </c>
      <c r="D82" s="101"/>
      <c r="E82" s="102">
        <v>2.0</v>
      </c>
      <c r="F82" s="103">
        <v>3.0</v>
      </c>
      <c r="G82" s="104" t="str">
        <f>IF(C$81="Racked Carry","40 Steps",10)</f>
        <v>40 Steps</v>
      </c>
      <c r="H82" s="105"/>
      <c r="I82" s="103"/>
      <c r="J82" s="103"/>
      <c r="K82" s="106"/>
      <c r="L82" s="107"/>
    </row>
    <row r="83">
      <c r="B83" s="99"/>
      <c r="C83" s="100" t="s">
        <v>291</v>
      </c>
      <c r="D83" s="101"/>
      <c r="E83" s="102">
        <v>3.0</v>
      </c>
      <c r="F83" s="103">
        <v>3.0</v>
      </c>
      <c r="G83" s="104" t="str">
        <f>IF(C$81="Racked Carry","30 Steps",10)</f>
        <v>30 Steps</v>
      </c>
      <c r="H83" s="105"/>
      <c r="I83" s="103"/>
      <c r="J83" s="103"/>
      <c r="K83" s="103"/>
      <c r="L83" s="107"/>
    </row>
    <row r="84">
      <c r="B84" s="108"/>
      <c r="C84" s="109"/>
      <c r="D84" s="101"/>
      <c r="E84" s="102">
        <v>4.0</v>
      </c>
      <c r="F84" s="103">
        <v>3.0</v>
      </c>
      <c r="G84" s="104" t="str">
        <f>IF(C$81="Racked Carry","40 Steps",10)</f>
        <v>40 Steps</v>
      </c>
      <c r="H84" s="105"/>
      <c r="I84" s="103"/>
      <c r="J84" s="103"/>
      <c r="K84" s="103"/>
      <c r="L84" s="107"/>
    </row>
    <row r="85">
      <c r="B85" s="127"/>
      <c r="C85" s="136"/>
      <c r="D85" s="112"/>
      <c r="E85" s="128">
        <v>5.0</v>
      </c>
      <c r="F85" s="129">
        <v>4.0</v>
      </c>
      <c r="G85" s="130" t="str">
        <f>IF(C$81="Racked Carry","30 Steps",10)</f>
        <v>30 Steps</v>
      </c>
      <c r="H85" s="131"/>
      <c r="I85" s="129"/>
      <c r="J85" s="129"/>
      <c r="K85" s="129"/>
      <c r="L85" s="132"/>
    </row>
    <row r="86"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</row>
    <row r="87"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</row>
    <row r="88"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</row>
    <row r="89" ht="15.75" customHeight="1">
      <c r="B89" s="64"/>
      <c r="C89" s="65"/>
      <c r="D89" s="65"/>
      <c r="E89" s="65"/>
      <c r="F89" s="66"/>
      <c r="G89" s="66"/>
      <c r="H89" s="66"/>
      <c r="I89" s="66"/>
      <c r="J89" s="67"/>
      <c r="K89" s="67"/>
      <c r="L89" s="68"/>
    </row>
    <row r="90" ht="15.0" customHeight="1">
      <c r="B90" s="69"/>
      <c r="C90" s="8"/>
      <c r="F90" s="9" t="s">
        <v>276</v>
      </c>
      <c r="G90" s="9"/>
      <c r="H90" s="70"/>
      <c r="I90" s="71"/>
      <c r="J90" s="71"/>
      <c r="K90" s="11"/>
      <c r="L90" s="72"/>
    </row>
    <row r="91" ht="15.0" customHeight="1">
      <c r="B91" s="69"/>
      <c r="F91" s="13" t="s">
        <v>97</v>
      </c>
      <c r="G91" s="13"/>
      <c r="H91" s="73"/>
      <c r="I91" s="74"/>
      <c r="J91" s="74"/>
      <c r="K91" s="14"/>
      <c r="L91" s="72"/>
      <c r="M91" s="75"/>
    </row>
    <row r="92">
      <c r="B92" s="69"/>
      <c r="C92" s="7"/>
      <c r="D92" s="7"/>
      <c r="E92" s="7"/>
      <c r="F92" s="76"/>
      <c r="G92" s="76"/>
      <c r="H92" s="76"/>
      <c r="I92" s="76"/>
      <c r="J92" s="77"/>
      <c r="K92" s="77"/>
      <c r="L92" s="78"/>
      <c r="M92" s="79"/>
    </row>
    <row r="93" ht="13.5" customHeight="1">
      <c r="B93" s="20" t="s">
        <v>292</v>
      </c>
      <c r="C93" s="21"/>
      <c r="D93" s="21"/>
      <c r="E93" s="21"/>
      <c r="F93" s="21"/>
      <c r="G93" s="21"/>
      <c r="H93" s="21"/>
      <c r="I93" s="21"/>
      <c r="J93" s="21"/>
      <c r="K93" s="21"/>
      <c r="L93" s="80"/>
    </row>
    <row r="94" ht="13.5" customHeight="1"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81"/>
    </row>
    <row r="95">
      <c r="B95" s="82"/>
      <c r="C95" s="83" t="s">
        <v>31</v>
      </c>
      <c r="D95" s="84"/>
      <c r="E95" s="85" t="s">
        <v>32</v>
      </c>
      <c r="F95" s="86" t="s">
        <v>33</v>
      </c>
      <c r="G95" s="87" t="s">
        <v>34</v>
      </c>
      <c r="H95" s="88" t="s">
        <v>35</v>
      </c>
      <c r="I95" s="88" t="s">
        <v>36</v>
      </c>
      <c r="J95" s="88" t="s">
        <v>37</v>
      </c>
      <c r="K95" s="88" t="s">
        <v>38</v>
      </c>
      <c r="L95" s="89" t="s">
        <v>39</v>
      </c>
    </row>
    <row r="96">
      <c r="B96" s="90"/>
      <c r="C96" s="91" t="s">
        <v>293</v>
      </c>
      <c r="D96" s="92"/>
      <c r="E96" s="93">
        <v>1.0</v>
      </c>
      <c r="F96" s="94">
        <v>2.0</v>
      </c>
      <c r="G96" s="95">
        <v>8.0</v>
      </c>
      <c r="H96" s="96"/>
      <c r="I96" s="94"/>
      <c r="J96" s="94"/>
      <c r="K96" s="97"/>
      <c r="L96" s="98"/>
    </row>
    <row r="97">
      <c r="B97" s="99"/>
      <c r="C97" s="100" t="s">
        <v>294</v>
      </c>
      <c r="D97" s="101"/>
      <c r="E97" s="102">
        <v>2.0</v>
      </c>
      <c r="F97" s="103">
        <v>4.0</v>
      </c>
      <c r="G97" s="104">
        <v>8.0</v>
      </c>
      <c r="H97" s="105"/>
      <c r="I97" s="103"/>
      <c r="J97" s="103"/>
      <c r="K97" s="106"/>
      <c r="L97" s="107"/>
    </row>
    <row r="98">
      <c r="B98" s="99"/>
      <c r="C98" s="100" t="s">
        <v>295</v>
      </c>
      <c r="D98" s="101"/>
      <c r="E98" s="102">
        <v>3.0</v>
      </c>
      <c r="F98" s="103">
        <v>4.0</v>
      </c>
      <c r="G98" s="104">
        <v>8.0</v>
      </c>
      <c r="H98" s="105"/>
      <c r="I98" s="103"/>
      <c r="J98" s="103"/>
      <c r="K98" s="103"/>
      <c r="L98" s="107"/>
      <c r="M98" s="75"/>
    </row>
    <row r="99">
      <c r="B99" s="108"/>
      <c r="C99" s="109"/>
      <c r="D99" s="101"/>
      <c r="E99" s="102">
        <v>4.0</v>
      </c>
      <c r="F99" s="103">
        <v>4.0</v>
      </c>
      <c r="G99" s="104">
        <v>8.0</v>
      </c>
      <c r="H99" s="105"/>
      <c r="I99" s="103"/>
      <c r="J99" s="103"/>
      <c r="K99" s="103"/>
      <c r="L99" s="107"/>
      <c r="M99" s="75"/>
    </row>
    <row r="100">
      <c r="B100" s="127"/>
      <c r="C100" s="111" t="str">
        <f>iferror(vlookup(LEFT(C96,LEN(C96)-2)&amp;"*",ExcerciseLookup,3,FALSE),"")</f>
        <v>Video Tutorial</v>
      </c>
      <c r="D100" s="112"/>
      <c r="E100" s="128">
        <v>5.0</v>
      </c>
      <c r="F100" s="129">
        <v>5.0</v>
      </c>
      <c r="G100" s="130">
        <v>8.0</v>
      </c>
      <c r="H100" s="131"/>
      <c r="I100" s="129"/>
      <c r="J100" s="129"/>
      <c r="K100" s="129"/>
      <c r="L100" s="132"/>
      <c r="M100" s="75"/>
    </row>
    <row r="101">
      <c r="B101" s="118"/>
      <c r="C101" s="119" t="s">
        <v>243</v>
      </c>
      <c r="D101" s="120"/>
      <c r="E101" s="121">
        <v>1.0</v>
      </c>
      <c r="F101" s="122">
        <v>2.0</v>
      </c>
      <c r="G101" s="123" t="str">
        <f t="shared" ref="G101:G105" si="8">IF(C$101="Suitcase Romanian Deadlift","6/Side",8)</f>
        <v>6/Side</v>
      </c>
      <c r="H101" s="124"/>
      <c r="I101" s="122"/>
      <c r="J101" s="122"/>
      <c r="K101" s="125"/>
      <c r="L101" s="126"/>
      <c r="M101" s="75"/>
    </row>
    <row r="102">
      <c r="B102" s="99"/>
      <c r="C102" s="100" t="s">
        <v>296</v>
      </c>
      <c r="D102" s="101"/>
      <c r="E102" s="102">
        <v>2.0</v>
      </c>
      <c r="F102" s="103">
        <v>3.0</v>
      </c>
      <c r="G102" s="104" t="str">
        <f t="shared" si="8"/>
        <v>6/Side</v>
      </c>
      <c r="H102" s="105"/>
      <c r="I102" s="103"/>
      <c r="J102" s="103"/>
      <c r="K102" s="103"/>
      <c r="L102" s="107"/>
      <c r="M102" s="75"/>
    </row>
    <row r="103">
      <c r="B103" s="99"/>
      <c r="C103" s="100" t="s">
        <v>297</v>
      </c>
      <c r="D103" s="101"/>
      <c r="E103" s="102">
        <v>3.0</v>
      </c>
      <c r="F103" s="103">
        <v>3.0</v>
      </c>
      <c r="G103" s="104" t="str">
        <f t="shared" si="8"/>
        <v>6/Side</v>
      </c>
      <c r="H103" s="105"/>
      <c r="I103" s="103"/>
      <c r="J103" s="103"/>
      <c r="K103" s="103"/>
      <c r="L103" s="107"/>
    </row>
    <row r="104">
      <c r="B104" s="108"/>
      <c r="C104" s="100"/>
      <c r="D104" s="101"/>
      <c r="E104" s="102">
        <v>4.0</v>
      </c>
      <c r="F104" s="103">
        <v>3.0</v>
      </c>
      <c r="G104" s="104" t="str">
        <f t="shared" si="8"/>
        <v>6/Side</v>
      </c>
      <c r="H104" s="105"/>
      <c r="I104" s="103"/>
      <c r="J104" s="103"/>
      <c r="K104" s="103"/>
      <c r="L104" s="107"/>
    </row>
    <row r="105">
      <c r="B105" s="127"/>
      <c r="C105" s="111" t="str">
        <f>iferror(vlookup(LEFT(C101,LEN(C101)-2)&amp;"*",ExcerciseLookup,3,FALSE),"")</f>
        <v>Video Tutorial</v>
      </c>
      <c r="D105" s="112"/>
      <c r="E105" s="128">
        <v>5.0</v>
      </c>
      <c r="F105" s="129">
        <v>4.0</v>
      </c>
      <c r="G105" s="130" t="str">
        <f t="shared" si="8"/>
        <v>6/Side</v>
      </c>
      <c r="H105" s="131"/>
      <c r="I105" s="129"/>
      <c r="J105" s="129"/>
      <c r="K105" s="129"/>
      <c r="L105" s="132"/>
    </row>
    <row r="106" ht="13.5" customHeight="1">
      <c r="B106" s="20" t="s">
        <v>298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80"/>
    </row>
    <row r="107" ht="13.5" customHeight="1">
      <c r="B107" s="22"/>
      <c r="C107" s="23"/>
      <c r="D107" s="23"/>
      <c r="E107" s="23"/>
      <c r="F107" s="23"/>
      <c r="G107" s="23"/>
      <c r="H107" s="23"/>
      <c r="I107" s="23"/>
      <c r="J107" s="23"/>
      <c r="K107" s="23"/>
      <c r="L107" s="81"/>
    </row>
    <row r="108">
      <c r="B108" s="82"/>
      <c r="C108" s="83" t="s">
        <v>31</v>
      </c>
      <c r="D108" s="84"/>
      <c r="E108" s="85" t="s">
        <v>32</v>
      </c>
      <c r="F108" s="86" t="s">
        <v>33</v>
      </c>
      <c r="G108" s="87" t="s">
        <v>34</v>
      </c>
      <c r="H108" s="88" t="s">
        <v>35</v>
      </c>
      <c r="I108" s="88" t="s">
        <v>36</v>
      </c>
      <c r="J108" s="88" t="s">
        <v>37</v>
      </c>
      <c r="K108" s="88" t="s">
        <v>38</v>
      </c>
      <c r="L108" s="89" t="s">
        <v>39</v>
      </c>
    </row>
    <row r="109">
      <c r="B109" s="90"/>
      <c r="C109" s="91" t="s">
        <v>299</v>
      </c>
      <c r="D109" s="92"/>
      <c r="E109" s="93">
        <v>1.0</v>
      </c>
      <c r="F109" s="94">
        <v>2.0</v>
      </c>
      <c r="G109" s="95" t="str">
        <f t="shared" ref="G109:G113" si="9">IF(C$109="Barbell Overhead Press",8,"6/Side")</f>
        <v>6/Side</v>
      </c>
      <c r="H109" s="96"/>
      <c r="I109" s="94"/>
      <c r="J109" s="94"/>
      <c r="K109" s="97"/>
      <c r="L109" s="98"/>
    </row>
    <row r="110">
      <c r="B110" s="99"/>
      <c r="C110" s="100" t="s">
        <v>300</v>
      </c>
      <c r="D110" s="101"/>
      <c r="E110" s="102">
        <v>2.0</v>
      </c>
      <c r="F110" s="103">
        <v>3.0</v>
      </c>
      <c r="G110" s="104" t="str">
        <f t="shared" si="9"/>
        <v>6/Side</v>
      </c>
      <c r="H110" s="105"/>
      <c r="I110" s="103"/>
      <c r="J110" s="103"/>
      <c r="K110" s="106"/>
      <c r="L110" s="107"/>
    </row>
    <row r="111">
      <c r="B111" s="99"/>
      <c r="C111" s="100" t="s">
        <v>301</v>
      </c>
      <c r="D111" s="101"/>
      <c r="E111" s="102">
        <v>3.0</v>
      </c>
      <c r="F111" s="103">
        <v>3.0</v>
      </c>
      <c r="G111" s="104" t="str">
        <f t="shared" si="9"/>
        <v>6/Side</v>
      </c>
      <c r="H111" s="105"/>
      <c r="I111" s="103"/>
      <c r="J111" s="103"/>
      <c r="K111" s="103"/>
      <c r="L111" s="107"/>
    </row>
    <row r="112">
      <c r="B112" s="108"/>
      <c r="C112" s="109"/>
      <c r="D112" s="101"/>
      <c r="E112" s="102">
        <v>4.0</v>
      </c>
      <c r="F112" s="103">
        <v>3.0</v>
      </c>
      <c r="G112" s="104" t="str">
        <f t="shared" si="9"/>
        <v>6/Side</v>
      </c>
      <c r="H112" s="105"/>
      <c r="I112" s="103"/>
      <c r="J112" s="103"/>
      <c r="K112" s="103"/>
      <c r="L112" s="107"/>
    </row>
    <row r="113">
      <c r="B113" s="127"/>
      <c r="C113" s="111" t="str">
        <f>iferror(vlookup(LEFT(C109,LEN(C109)-2)&amp;"*",ExcerciseLookup,3,FALSE),"")</f>
        <v>Video Tutorial</v>
      </c>
      <c r="D113" s="112"/>
      <c r="E113" s="128">
        <v>5.0</v>
      </c>
      <c r="F113" s="129">
        <v>4.0</v>
      </c>
      <c r="G113" s="130" t="str">
        <f t="shared" si="9"/>
        <v>6/Side</v>
      </c>
      <c r="H113" s="131"/>
      <c r="I113" s="129"/>
      <c r="J113" s="129"/>
      <c r="K113" s="129"/>
      <c r="L113" s="132"/>
    </row>
    <row r="114">
      <c r="B114" s="118"/>
      <c r="C114" s="119" t="s">
        <v>19</v>
      </c>
      <c r="D114" s="120"/>
      <c r="E114" s="121">
        <v>1.0</v>
      </c>
      <c r="F114" s="122">
        <v>2.0</v>
      </c>
      <c r="G114" s="123">
        <f t="shared" ref="G114:G118" si="10">IF(C$114="Goblet Squat",12,8)</f>
        <v>12</v>
      </c>
      <c r="H114" s="124"/>
      <c r="I114" s="122"/>
      <c r="J114" s="122"/>
      <c r="K114" s="125"/>
      <c r="L114" s="126"/>
    </row>
    <row r="115">
      <c r="B115" s="99"/>
      <c r="C115" s="100" t="s">
        <v>302</v>
      </c>
      <c r="D115" s="101"/>
      <c r="E115" s="102">
        <v>2.0</v>
      </c>
      <c r="F115" s="103">
        <v>3.0</v>
      </c>
      <c r="G115" s="104">
        <f t="shared" si="10"/>
        <v>12</v>
      </c>
      <c r="H115" s="105"/>
      <c r="I115" s="103"/>
      <c r="J115" s="103"/>
      <c r="K115" s="103"/>
      <c r="L115" s="107"/>
    </row>
    <row r="116">
      <c r="B116" s="99"/>
      <c r="C116" s="100" t="s">
        <v>303</v>
      </c>
      <c r="D116" s="101"/>
      <c r="E116" s="102">
        <v>3.0</v>
      </c>
      <c r="F116" s="103">
        <v>3.0</v>
      </c>
      <c r="G116" s="104">
        <f t="shared" si="10"/>
        <v>12</v>
      </c>
      <c r="H116" s="105"/>
      <c r="I116" s="103"/>
      <c r="J116" s="103"/>
      <c r="K116" s="103"/>
      <c r="L116" s="107"/>
    </row>
    <row r="117">
      <c r="B117" s="108"/>
      <c r="C117" s="100"/>
      <c r="D117" s="101"/>
      <c r="E117" s="102">
        <v>4.0</v>
      </c>
      <c r="F117" s="103">
        <v>3.0</v>
      </c>
      <c r="G117" s="104">
        <f t="shared" si="10"/>
        <v>12</v>
      </c>
      <c r="H117" s="105"/>
      <c r="I117" s="103"/>
      <c r="J117" s="103"/>
      <c r="K117" s="103"/>
      <c r="L117" s="107"/>
    </row>
    <row r="118">
      <c r="B118" s="127"/>
      <c r="C118" s="111" t="str">
        <f>iferror(vlookup(LEFT(C114,LEN(C114)-2)&amp;"*",ExcerciseLookup,3,FALSE),"")</f>
        <v>Video Tutorial</v>
      </c>
      <c r="D118" s="112"/>
      <c r="E118" s="128">
        <v>5.0</v>
      </c>
      <c r="F118" s="129">
        <v>3.0</v>
      </c>
      <c r="G118" s="130">
        <f t="shared" si="10"/>
        <v>12</v>
      </c>
      <c r="H118" s="131"/>
      <c r="I118" s="129"/>
      <c r="J118" s="129"/>
      <c r="K118" s="129"/>
      <c r="L118" s="132"/>
    </row>
    <row r="119" ht="13.5" customHeight="1">
      <c r="B119" s="20" t="s">
        <v>304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80"/>
    </row>
    <row r="120" ht="13.5" customHeight="1">
      <c r="B120" s="22"/>
      <c r="C120" s="23"/>
      <c r="D120" s="23"/>
      <c r="E120" s="23"/>
      <c r="F120" s="23"/>
      <c r="G120" s="23"/>
      <c r="H120" s="23"/>
      <c r="I120" s="23"/>
      <c r="J120" s="23"/>
      <c r="K120" s="23"/>
      <c r="L120" s="81"/>
    </row>
    <row r="121">
      <c r="B121" s="82"/>
      <c r="C121" s="83" t="s">
        <v>31</v>
      </c>
      <c r="D121" s="84"/>
      <c r="E121" s="85" t="s">
        <v>32</v>
      </c>
      <c r="F121" s="86" t="s">
        <v>33</v>
      </c>
      <c r="G121" s="87" t="s">
        <v>34</v>
      </c>
      <c r="H121" s="88" t="s">
        <v>35</v>
      </c>
      <c r="I121" s="88" t="s">
        <v>36</v>
      </c>
      <c r="J121" s="88" t="s">
        <v>37</v>
      </c>
      <c r="K121" s="88" t="s">
        <v>38</v>
      </c>
      <c r="L121" s="89" t="s">
        <v>39</v>
      </c>
    </row>
    <row r="122">
      <c r="B122" s="90"/>
      <c r="C122" s="91" t="s">
        <v>17</v>
      </c>
      <c r="D122" s="92"/>
      <c r="E122" s="93">
        <v>1.0</v>
      </c>
      <c r="F122" s="94">
        <v>2.0</v>
      </c>
      <c r="G122" s="95" t="str">
        <f t="shared" ref="G122:G126" si="11">IF(C$122="1-Arm Farmer Carry","60 Steps",12)</f>
        <v>60 Steps</v>
      </c>
      <c r="H122" s="96"/>
      <c r="I122" s="94"/>
      <c r="J122" s="94"/>
      <c r="K122" s="97"/>
      <c r="L122" s="98"/>
    </row>
    <row r="123">
      <c r="B123" s="99"/>
      <c r="C123" s="100" t="s">
        <v>305</v>
      </c>
      <c r="D123" s="101"/>
      <c r="E123" s="102">
        <v>2.0</v>
      </c>
      <c r="F123" s="103">
        <v>3.0</v>
      </c>
      <c r="G123" s="104" t="str">
        <f t="shared" si="11"/>
        <v>60 Steps</v>
      </c>
      <c r="H123" s="105"/>
      <c r="I123" s="103"/>
      <c r="J123" s="103"/>
      <c r="K123" s="106"/>
      <c r="L123" s="107"/>
    </row>
    <row r="124">
      <c r="B124" s="99"/>
      <c r="C124" s="100" t="s">
        <v>306</v>
      </c>
      <c r="D124" s="101"/>
      <c r="E124" s="102">
        <v>3.0</v>
      </c>
      <c r="F124" s="103">
        <v>3.0</v>
      </c>
      <c r="G124" s="104" t="str">
        <f t="shared" si="11"/>
        <v>60 Steps</v>
      </c>
      <c r="H124" s="105"/>
      <c r="I124" s="103"/>
      <c r="J124" s="103"/>
      <c r="K124" s="103"/>
      <c r="L124" s="107"/>
    </row>
    <row r="125">
      <c r="B125" s="108"/>
      <c r="C125" s="137" t="str">
        <f>IF(C122="1-Arm Farmer Carry","REPEAT ON OTHER SIDE FOR ONE SET",)</f>
        <v>REPEAT ON OTHER SIDE FOR ONE SET</v>
      </c>
      <c r="D125" s="101"/>
      <c r="E125" s="102">
        <v>4.0</v>
      </c>
      <c r="F125" s="103">
        <v>3.0</v>
      </c>
      <c r="G125" s="104" t="str">
        <f t="shared" si="11"/>
        <v>60 Steps</v>
      </c>
      <c r="H125" s="105"/>
      <c r="I125" s="103"/>
      <c r="J125" s="103"/>
      <c r="K125" s="103"/>
      <c r="L125" s="107"/>
    </row>
    <row r="126">
      <c r="B126" s="127"/>
      <c r="C126" s="111" t="str">
        <f>iferror(vlookup(LEFT(C122,LEN(C122)-2)&amp;"*",ExcerciseLookup,3,FALSE),"")</f>
        <v>Video Tutorial</v>
      </c>
      <c r="D126" s="112"/>
      <c r="E126" s="128">
        <v>5.0</v>
      </c>
      <c r="F126" s="129">
        <v>4.0</v>
      </c>
      <c r="G126" s="130" t="str">
        <f t="shared" si="11"/>
        <v>60 Steps</v>
      </c>
      <c r="H126" s="131"/>
      <c r="I126" s="129"/>
      <c r="J126" s="129"/>
      <c r="K126" s="129"/>
      <c r="L126" s="132"/>
    </row>
    <row r="127">
      <c r="B127" s="118"/>
      <c r="C127" s="119" t="s">
        <v>307</v>
      </c>
      <c r="D127" s="120"/>
      <c r="E127" s="121">
        <v>1.0</v>
      </c>
      <c r="F127" s="122">
        <v>2.0</v>
      </c>
      <c r="G127" s="123">
        <v>10.0</v>
      </c>
      <c r="H127" s="124"/>
      <c r="I127" s="122"/>
      <c r="J127" s="122"/>
      <c r="K127" s="125"/>
      <c r="L127" s="126"/>
    </row>
    <row r="128">
      <c r="B128" s="99"/>
      <c r="C128" s="100" t="s">
        <v>308</v>
      </c>
      <c r="D128" s="101"/>
      <c r="E128" s="102">
        <v>2.0</v>
      </c>
      <c r="F128" s="103">
        <v>3.0</v>
      </c>
      <c r="G128" s="104">
        <v>10.0</v>
      </c>
      <c r="H128" s="105"/>
      <c r="I128" s="103"/>
      <c r="J128" s="103"/>
      <c r="K128" s="103"/>
      <c r="L128" s="107"/>
    </row>
    <row r="129">
      <c r="B129" s="99"/>
      <c r="C129" s="100" t="s">
        <v>309</v>
      </c>
      <c r="D129" s="101"/>
      <c r="E129" s="102">
        <v>3.0</v>
      </c>
      <c r="F129" s="103">
        <v>3.0</v>
      </c>
      <c r="G129" s="104">
        <v>10.0</v>
      </c>
      <c r="H129" s="105"/>
      <c r="I129" s="103"/>
      <c r="J129" s="103"/>
      <c r="K129" s="103"/>
      <c r="L129" s="107"/>
    </row>
    <row r="130">
      <c r="B130" s="108"/>
      <c r="C130" s="100"/>
      <c r="D130" s="101"/>
      <c r="E130" s="102">
        <v>4.0</v>
      </c>
      <c r="F130" s="103">
        <v>3.0</v>
      </c>
      <c r="G130" s="104">
        <v>10.0</v>
      </c>
      <c r="H130" s="105"/>
      <c r="I130" s="103"/>
      <c r="J130" s="103"/>
      <c r="K130" s="103"/>
      <c r="L130" s="107"/>
    </row>
    <row r="131">
      <c r="B131" s="127"/>
      <c r="C131" s="135" t="str">
        <f>iferror(vlookup(LEFT(C127,LEN(C127)-2)&amp;"*",ExcerciseLookup,3,FALSE),"")</f>
        <v/>
      </c>
      <c r="D131" s="112"/>
      <c r="E131" s="128">
        <v>5.0</v>
      </c>
      <c r="F131" s="129">
        <v>4.0</v>
      </c>
      <c r="G131" s="130">
        <v>10.0</v>
      </c>
      <c r="H131" s="131"/>
      <c r="I131" s="129"/>
      <c r="J131" s="129"/>
      <c r="K131" s="129"/>
      <c r="L131" s="132"/>
    </row>
    <row r="132"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</row>
    <row r="133"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</row>
    <row r="134"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</row>
  </sheetData>
  <mergeCells count="106">
    <mergeCell ref="C57:D57"/>
    <mergeCell ref="C58:D58"/>
    <mergeCell ref="C59:D59"/>
    <mergeCell ref="C60:D60"/>
    <mergeCell ref="C61:D61"/>
    <mergeCell ref="C62:D62"/>
    <mergeCell ref="C63:D63"/>
    <mergeCell ref="C67:D67"/>
    <mergeCell ref="C68:D68"/>
    <mergeCell ref="C69:D69"/>
    <mergeCell ref="C70:D70"/>
    <mergeCell ref="C71:D71"/>
    <mergeCell ref="C72:D72"/>
    <mergeCell ref="C73:D73"/>
    <mergeCell ref="C83:D83"/>
    <mergeCell ref="C84:D84"/>
    <mergeCell ref="C85:D85"/>
    <mergeCell ref="C90:E91"/>
    <mergeCell ref="C74:D74"/>
    <mergeCell ref="C75:D75"/>
    <mergeCell ref="C76:D76"/>
    <mergeCell ref="C77:D77"/>
    <mergeCell ref="C80:D80"/>
    <mergeCell ref="C81:D81"/>
    <mergeCell ref="C82:D82"/>
    <mergeCell ref="C105:D105"/>
    <mergeCell ref="B106:L107"/>
    <mergeCell ref="C98:D98"/>
    <mergeCell ref="C99:D99"/>
    <mergeCell ref="C100:D100"/>
    <mergeCell ref="C101:D101"/>
    <mergeCell ref="C102:D102"/>
    <mergeCell ref="C103:D103"/>
    <mergeCell ref="C104:D104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B119:L120"/>
    <mergeCell ref="C121:D121"/>
    <mergeCell ref="C122:D122"/>
    <mergeCell ref="C130:D130"/>
    <mergeCell ref="C131:D131"/>
    <mergeCell ref="C123:D123"/>
    <mergeCell ref="C124:D124"/>
    <mergeCell ref="C125:D125"/>
    <mergeCell ref="C126:D126"/>
    <mergeCell ref="C127:D127"/>
    <mergeCell ref="C128:D128"/>
    <mergeCell ref="C129:D129"/>
    <mergeCell ref="C3:E4"/>
    <mergeCell ref="B6:L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L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2:L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9:E50"/>
    <mergeCell ref="B52:L53"/>
    <mergeCell ref="C54:D54"/>
    <mergeCell ref="C55:D55"/>
    <mergeCell ref="C56:D56"/>
    <mergeCell ref="C64:D64"/>
    <mergeCell ref="B65:L66"/>
    <mergeCell ref="B78:L79"/>
    <mergeCell ref="B93:L94"/>
    <mergeCell ref="C95:D95"/>
    <mergeCell ref="C96:D96"/>
    <mergeCell ref="C97:D97"/>
  </mergeCells>
  <conditionalFormatting sqref="H9:L18 H22:L31 H35:L44 H55:L64 H68:L77 H81:L85 H96:L105 H109:L118 H122:L131">
    <cfRule type="expression" dxfId="1" priority="1">
      <formula>if(right(H$8,1)*1&gt;$F9*1,true)</formula>
    </cfRule>
  </conditionalFormatting>
  <conditionalFormatting sqref="I4 I50 I91">
    <cfRule type="containsText" dxfId="2" priority="2" operator="containsText" text="INPUT HERE">
      <formula>NOT(ISERROR(SEARCH(("INPUT HERE"),(I4))))</formula>
    </cfRule>
  </conditionalFormatting>
  <conditionalFormatting sqref="G9:G13 F10:F13 F15:F18 G18 G22:G26 F23:F26 F28:F31 G31 G35:G41 F36:F44 G44 G55:G59 F56:F64 G64 F68:F77 G68:G72 G77 F80:F85 G81:G85 G96:G100 F97:F105 G105 F109:F118 G109:G113 G118 F121:F131 E122:E126 G122:G128 G130:G131">
    <cfRule type="cellIs" dxfId="0" priority="3" operator="equal">
      <formula>"Pending"</formula>
    </cfRule>
  </conditionalFormatting>
  <dataValidations>
    <dataValidation type="list" allowBlank="1" sqref="C35">
      <formula1>"Ab Wheel Rollouts,Hand Walkouts"</formula1>
    </dataValidation>
    <dataValidation type="list" allowBlank="1" sqref="C9">
      <formula1>"Barbell Deadlift,1-Leg Dumbbell Romanian Deadlift"</formula1>
    </dataValidation>
    <dataValidation type="list" allowBlank="1" sqref="C55">
      <formula1>"Chin-Ups,Chest-Supported Dumbbell Row,Underhand Barbell Row"</formula1>
    </dataValidation>
    <dataValidation type="list" allowBlank="1" sqref="C73">
      <formula1>"Dumbbell Pullover,Barbell Pullover"</formula1>
    </dataValidation>
    <dataValidation type="list" allowBlank="1" sqref="C60">
      <formula1>"Barbell Front Squat,Barbell Back Squat,Double-Dumbbell Front Squat,"</formula1>
    </dataValidation>
    <dataValidation type="list" allowBlank="1" sqref="C68">
      <formula1>"1-Arm Incline Dumbbell Bench,Dumbbell Incline Bench Press,Incline Barbell Bench Press,Close-Grip Barbell Bench Press"</formula1>
    </dataValidation>
    <dataValidation type="list" allowBlank="1" sqref="C101">
      <formula1>"Suitcase Romanian Deadlift,Barbell Romanian Deadlift"</formula1>
    </dataValidation>
    <dataValidation type="list" allowBlank="1" sqref="C96">
      <formula1>"Barbell Bench Press,Dumbbell Bench Press"</formula1>
    </dataValidation>
    <dataValidation type="list" allowBlank="1" sqref="C14">
      <formula1>"EZ-Bar Biceps Curl,Barbell Biceps Curls,Dumbbell Biceps Curl,"</formula1>
    </dataValidation>
    <dataValidation type="list" allowBlank="1" sqref="C40">
      <formula1>"Weighted Push-Ups,Deficit Push-Ups,Push-Ups,Raised Push-Ups"</formula1>
    </dataValidation>
    <dataValidation type="list" allowBlank="1" sqref="C114">
      <formula1>"Goblet Squat,Leg Press,Barbell Front Squat,Barbell Back Squat"</formula1>
    </dataValidation>
    <dataValidation type="list" allowBlank="1" sqref="C81">
      <formula1>"Racked Carry,Barbell Shrugs"</formula1>
    </dataValidation>
    <dataValidation type="list" allowBlank="1" sqref="C127">
      <formula1>"Neutral-Grip Cable Seated Row,Dumbbell Reverse Fly,Weight-Plate Reverse Fly"</formula1>
    </dataValidation>
    <dataValidation type="list" allowBlank="1" sqref="C22">
      <formula1>"Alternating Dumbbell Bench Press,Dumbbell Bench Press,Barbell Bench Press"</formula1>
    </dataValidation>
    <dataValidation type="list" allowBlank="1" sqref="C109">
      <formula1>"Half-Kneeling Landmine Press,Half-Kneeling 1-Arm Dumbbell Press,Barbell Overhead Press,"</formula1>
    </dataValidation>
    <dataValidation type="list" allowBlank="1" sqref="C122">
      <formula1>"1-Arm Farmer Carry,Lateral Raises"</formula1>
    </dataValidation>
    <dataValidation type="list" allowBlank="1" sqref="C27">
      <formula1>"Bent-Over Dumbbell Row,Bent-Over Barbell Row"</formula1>
    </dataValidation>
  </dataValidations>
  <hyperlinks>
    <hyperlink r:id="rId1" ref="K3"/>
    <hyperlink r:id="rId2" ref="K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8B8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15.75"/>
    <col customWidth="1" min="4" max="4" width="16.38"/>
    <col customWidth="1" min="5" max="13" width="9.5"/>
  </cols>
  <sheetData>
    <row r="1">
      <c r="A1" s="1"/>
    </row>
    <row r="2" ht="15.75" customHeight="1">
      <c r="B2" s="64"/>
      <c r="C2" s="65"/>
      <c r="D2" s="65"/>
      <c r="E2" s="65"/>
      <c r="F2" s="66"/>
      <c r="G2" s="66"/>
      <c r="H2" s="66"/>
      <c r="I2" s="66"/>
      <c r="J2" s="67"/>
      <c r="K2" s="67"/>
      <c r="L2" s="68"/>
    </row>
    <row r="3" ht="15.0" customHeight="1">
      <c r="B3" s="69"/>
      <c r="C3" s="8"/>
      <c r="F3" s="9" t="s">
        <v>310</v>
      </c>
      <c r="G3" s="9"/>
      <c r="H3" s="70" t="s">
        <v>26</v>
      </c>
      <c r="I3" s="71">
        <v>45658.0</v>
      </c>
      <c r="J3" s="71"/>
      <c r="K3" s="11" t="s">
        <v>1</v>
      </c>
      <c r="L3" s="72"/>
    </row>
    <row r="4" ht="15.0" customHeight="1">
      <c r="B4" s="69"/>
      <c r="F4" s="13" t="s">
        <v>27</v>
      </c>
      <c r="G4" s="13"/>
      <c r="H4" s="73" t="s">
        <v>28</v>
      </c>
      <c r="I4" s="74" t="s">
        <v>29</v>
      </c>
      <c r="J4" s="74"/>
      <c r="K4" s="14" t="s">
        <v>3</v>
      </c>
      <c r="L4" s="72"/>
      <c r="M4" s="75"/>
    </row>
    <row r="5">
      <c r="B5" s="69"/>
      <c r="C5" s="7"/>
      <c r="D5" s="7"/>
      <c r="E5" s="7"/>
      <c r="F5" s="76"/>
      <c r="G5" s="76"/>
      <c r="H5" s="76"/>
      <c r="I5" s="76"/>
      <c r="J5" s="77"/>
      <c r="K5" s="77"/>
      <c r="L5" s="78"/>
      <c r="M5" s="79"/>
    </row>
    <row r="6" ht="13.5" customHeight="1">
      <c r="B6" s="20" t="s">
        <v>311</v>
      </c>
      <c r="C6" s="21"/>
      <c r="D6" s="21"/>
      <c r="E6" s="21"/>
      <c r="F6" s="21"/>
      <c r="G6" s="21"/>
      <c r="H6" s="21"/>
      <c r="I6" s="21"/>
      <c r="J6" s="21"/>
      <c r="K6" s="21"/>
      <c r="L6" s="80"/>
    </row>
    <row r="7" ht="13.5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81"/>
    </row>
    <row r="8" ht="16.5" customHeight="1">
      <c r="B8" s="82"/>
      <c r="C8" s="83" t="s">
        <v>31</v>
      </c>
      <c r="D8" s="84"/>
      <c r="E8" s="85" t="s">
        <v>32</v>
      </c>
      <c r="F8" s="86" t="s">
        <v>33</v>
      </c>
      <c r="G8" s="87" t="s">
        <v>34</v>
      </c>
      <c r="H8" s="88" t="s">
        <v>35</v>
      </c>
      <c r="I8" s="88" t="s">
        <v>36</v>
      </c>
      <c r="J8" s="88" t="s">
        <v>37</v>
      </c>
      <c r="K8" s="88" t="s">
        <v>38</v>
      </c>
      <c r="L8" s="89" t="s">
        <v>39</v>
      </c>
    </row>
    <row r="9" ht="16.5" customHeight="1">
      <c r="B9" s="90"/>
      <c r="C9" s="91" t="s">
        <v>257</v>
      </c>
      <c r="D9" s="92"/>
      <c r="E9" s="93">
        <v>1.0</v>
      </c>
      <c r="F9" s="94">
        <v>2.0</v>
      </c>
      <c r="G9" s="95">
        <f t="shared" ref="G9:G13" si="1">IF(C$9="1-Leg Dumbbell Romanian Deadlift","10/Side",4)</f>
        <v>4</v>
      </c>
      <c r="H9" s="96"/>
      <c r="I9" s="94"/>
      <c r="J9" s="94"/>
      <c r="K9" s="97"/>
      <c r="L9" s="98"/>
      <c r="M9" s="75"/>
    </row>
    <row r="10" ht="16.5" customHeight="1">
      <c r="B10" s="99"/>
      <c r="C10" s="100" t="str">
        <f>IF(C9="Barbell Deadlift","REST: Short Nap","REST: 2 min.")</f>
        <v>REST: Short Nap</v>
      </c>
      <c r="D10" s="101"/>
      <c r="E10" s="102">
        <v>2.0</v>
      </c>
      <c r="F10" s="103">
        <v>3.0</v>
      </c>
      <c r="G10" s="104">
        <f t="shared" si="1"/>
        <v>4</v>
      </c>
      <c r="H10" s="105"/>
      <c r="I10" s="103"/>
      <c r="J10" s="103"/>
      <c r="K10" s="106"/>
      <c r="L10" s="107"/>
      <c r="M10" s="75"/>
    </row>
    <row r="11" ht="16.5" customHeight="1">
      <c r="B11" s="99"/>
      <c r="C11" s="100" t="str">
        <f>IF(C9="Barbell Deadlift","RIR: 3","RIR: 2")</f>
        <v>RIR: 3</v>
      </c>
      <c r="D11" s="101"/>
      <c r="E11" s="102">
        <v>3.0</v>
      </c>
      <c r="F11" s="103">
        <v>4.0</v>
      </c>
      <c r="G11" s="104">
        <f t="shared" si="1"/>
        <v>4</v>
      </c>
      <c r="H11" s="105"/>
      <c r="I11" s="103"/>
      <c r="J11" s="103"/>
      <c r="K11" s="103"/>
      <c r="L11" s="107"/>
      <c r="M11" s="75"/>
    </row>
    <row r="12" ht="16.5" customHeight="1">
      <c r="B12" s="108"/>
      <c r="C12" s="109"/>
      <c r="D12" s="101"/>
      <c r="E12" s="102">
        <v>4.0</v>
      </c>
      <c r="F12" s="103">
        <v>4.0</v>
      </c>
      <c r="G12" s="104">
        <f t="shared" si="1"/>
        <v>4</v>
      </c>
      <c r="H12" s="105"/>
      <c r="I12" s="103"/>
      <c r="J12" s="103"/>
      <c r="K12" s="103"/>
      <c r="L12" s="107"/>
      <c r="M12" s="75"/>
    </row>
    <row r="13" ht="16.5" customHeight="1">
      <c r="B13" s="127"/>
      <c r="C13" s="111" t="str">
        <f>iferror(vlookup(LEFT(C9,LEN(C9)-2)&amp;"*",ExcerciseLookup,3,FALSE),"")</f>
        <v>Video Tutorial</v>
      </c>
      <c r="D13" s="112"/>
      <c r="E13" s="128">
        <v>5.0</v>
      </c>
      <c r="F13" s="129">
        <v>4.0</v>
      </c>
      <c r="G13" s="130">
        <f t="shared" si="1"/>
        <v>4</v>
      </c>
      <c r="H13" s="131"/>
      <c r="I13" s="129"/>
      <c r="J13" s="129"/>
      <c r="K13" s="129"/>
      <c r="L13" s="132"/>
      <c r="M13" s="75"/>
    </row>
    <row r="14" ht="16.5" customHeight="1">
      <c r="B14" s="118"/>
      <c r="C14" s="119" t="s">
        <v>312</v>
      </c>
      <c r="D14" s="120"/>
      <c r="E14" s="121">
        <v>1.0</v>
      </c>
      <c r="F14" s="122">
        <v>2.0</v>
      </c>
      <c r="G14" s="123" t="str">
        <f t="shared" ref="G14:G18" si="2">IF(C$14="Barbell Overhead Press",6,"6/Side")</f>
        <v>6/Side</v>
      </c>
      <c r="H14" s="124"/>
      <c r="I14" s="122"/>
      <c r="J14" s="122"/>
      <c r="K14" s="125"/>
      <c r="L14" s="126"/>
      <c r="M14" s="75"/>
    </row>
    <row r="15" ht="16.5" customHeight="1">
      <c r="B15" s="99"/>
      <c r="C15" s="100" t="s">
        <v>313</v>
      </c>
      <c r="D15" s="101"/>
      <c r="E15" s="102">
        <v>2.0</v>
      </c>
      <c r="F15" s="103">
        <v>3.0</v>
      </c>
      <c r="G15" s="104" t="str">
        <f t="shared" si="2"/>
        <v>6/Side</v>
      </c>
      <c r="H15" s="105"/>
      <c r="I15" s="103"/>
      <c r="J15" s="103"/>
      <c r="K15" s="103"/>
      <c r="L15" s="107"/>
      <c r="M15" s="75"/>
    </row>
    <row r="16" ht="16.5" customHeight="1">
      <c r="B16" s="99"/>
      <c r="C16" s="100" t="s">
        <v>314</v>
      </c>
      <c r="D16" s="101"/>
      <c r="E16" s="102">
        <v>3.0</v>
      </c>
      <c r="F16" s="103">
        <v>4.0</v>
      </c>
      <c r="G16" s="104" t="str">
        <f t="shared" si="2"/>
        <v>6/Side</v>
      </c>
      <c r="H16" s="105"/>
      <c r="I16" s="103"/>
      <c r="J16" s="103"/>
      <c r="K16" s="103"/>
      <c r="L16" s="107"/>
      <c r="M16" s="75"/>
    </row>
    <row r="17" ht="16.5" customHeight="1">
      <c r="B17" s="108"/>
      <c r="C17" s="100"/>
      <c r="D17" s="101"/>
      <c r="E17" s="102">
        <v>4.0</v>
      </c>
      <c r="F17" s="103">
        <v>4.0</v>
      </c>
      <c r="G17" s="104" t="str">
        <f t="shared" si="2"/>
        <v>6/Side</v>
      </c>
      <c r="H17" s="105"/>
      <c r="I17" s="103"/>
      <c r="J17" s="103"/>
      <c r="K17" s="103"/>
      <c r="L17" s="107"/>
      <c r="M17" s="75"/>
    </row>
    <row r="18" ht="16.5" customHeight="1">
      <c r="B18" s="127"/>
      <c r="C18" s="111" t="str">
        <f>iferror(vlookup(LEFT(C14,LEN(C14)-2)&amp;"*",ExcerciseLookup,3,FALSE),"")</f>
        <v>Video Tutorial</v>
      </c>
      <c r="D18" s="112"/>
      <c r="E18" s="128">
        <v>5.0</v>
      </c>
      <c r="F18" s="129">
        <v>5.0</v>
      </c>
      <c r="G18" s="130" t="str">
        <f t="shared" si="2"/>
        <v>6/Side</v>
      </c>
      <c r="H18" s="131"/>
      <c r="I18" s="129"/>
      <c r="J18" s="129"/>
      <c r="K18" s="129"/>
      <c r="L18" s="132"/>
      <c r="M18" s="75"/>
    </row>
    <row r="19" ht="13.5" customHeight="1">
      <c r="B19" s="20" t="s">
        <v>315</v>
      </c>
      <c r="C19" s="21"/>
      <c r="D19" s="21"/>
      <c r="E19" s="21"/>
      <c r="F19" s="21"/>
      <c r="G19" s="21"/>
      <c r="H19" s="21"/>
      <c r="I19" s="21"/>
      <c r="J19" s="21"/>
      <c r="K19" s="21"/>
      <c r="L19" s="80"/>
    </row>
    <row r="20" ht="13.5" customHeight="1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81"/>
    </row>
    <row r="21" ht="16.5" customHeight="1">
      <c r="B21" s="82"/>
      <c r="C21" s="83" t="s">
        <v>31</v>
      </c>
      <c r="D21" s="84"/>
      <c r="E21" s="85" t="s">
        <v>32</v>
      </c>
      <c r="F21" s="86" t="s">
        <v>33</v>
      </c>
      <c r="G21" s="87" t="s">
        <v>34</v>
      </c>
      <c r="H21" s="88" t="s">
        <v>35</v>
      </c>
      <c r="I21" s="88" t="s">
        <v>36</v>
      </c>
      <c r="J21" s="88" t="s">
        <v>37</v>
      </c>
      <c r="K21" s="88" t="s">
        <v>38</v>
      </c>
      <c r="L21" s="89" t="s">
        <v>39</v>
      </c>
    </row>
    <row r="22" ht="16.5" customHeight="1">
      <c r="B22" s="90"/>
      <c r="C22" s="91" t="s">
        <v>76</v>
      </c>
      <c r="D22" s="92"/>
      <c r="E22" s="93">
        <v>1.0</v>
      </c>
      <c r="F22" s="94">
        <v>2.0</v>
      </c>
      <c r="G22" s="95">
        <v>12.0</v>
      </c>
      <c r="H22" s="96"/>
      <c r="I22" s="94"/>
      <c r="J22" s="94"/>
      <c r="K22" s="97"/>
      <c r="L22" s="98"/>
      <c r="M22" s="75"/>
    </row>
    <row r="23" ht="16.5" customHeight="1">
      <c r="B23" s="99"/>
      <c r="C23" s="100" t="s">
        <v>316</v>
      </c>
      <c r="D23" s="101"/>
      <c r="E23" s="102">
        <v>2.0</v>
      </c>
      <c r="F23" s="103">
        <v>3.0</v>
      </c>
      <c r="G23" s="104">
        <v>12.0</v>
      </c>
      <c r="H23" s="105"/>
      <c r="I23" s="103"/>
      <c r="J23" s="103"/>
      <c r="K23" s="106"/>
      <c r="L23" s="107"/>
      <c r="M23" s="75"/>
    </row>
    <row r="24" ht="16.5" customHeight="1">
      <c r="B24" s="99"/>
      <c r="C24" s="100" t="s">
        <v>317</v>
      </c>
      <c r="D24" s="101"/>
      <c r="E24" s="102">
        <v>3.0</v>
      </c>
      <c r="F24" s="103">
        <v>3.0</v>
      </c>
      <c r="G24" s="104">
        <v>12.0</v>
      </c>
      <c r="H24" s="105"/>
      <c r="I24" s="103"/>
      <c r="J24" s="103"/>
      <c r="K24" s="103"/>
      <c r="L24" s="107"/>
      <c r="M24" s="75"/>
    </row>
    <row r="25" ht="16.5" customHeight="1">
      <c r="B25" s="108"/>
      <c r="C25" s="109"/>
      <c r="D25" s="101"/>
      <c r="E25" s="102">
        <v>4.0</v>
      </c>
      <c r="F25" s="103">
        <v>3.0</v>
      </c>
      <c r="G25" s="104">
        <v>12.0</v>
      </c>
      <c r="H25" s="105"/>
      <c r="I25" s="103"/>
      <c r="J25" s="103"/>
      <c r="K25" s="103"/>
      <c r="L25" s="107"/>
      <c r="M25" s="75"/>
    </row>
    <row r="26" ht="16.5" customHeight="1">
      <c r="B26" s="127"/>
      <c r="C26" s="111" t="str">
        <f>iferror(vlookup(LEFT(C22,LEN(C22)-2)&amp;"*",ExcerciseLookup,3,FALSE),"")</f>
        <v>Video Tutorial</v>
      </c>
      <c r="D26" s="112"/>
      <c r="E26" s="128">
        <v>5.0</v>
      </c>
      <c r="F26" s="129">
        <v>4.0</v>
      </c>
      <c r="G26" s="130">
        <v>12.0</v>
      </c>
      <c r="H26" s="131"/>
      <c r="I26" s="129"/>
      <c r="J26" s="129"/>
      <c r="K26" s="129"/>
      <c r="L26" s="132"/>
      <c r="M26" s="75"/>
    </row>
    <row r="27" ht="16.5" customHeight="1">
      <c r="B27" s="118"/>
      <c r="C27" s="119" t="s">
        <v>252</v>
      </c>
      <c r="D27" s="120"/>
      <c r="E27" s="121">
        <v>1.0</v>
      </c>
      <c r="F27" s="122">
        <v>3.0</v>
      </c>
      <c r="G27" s="123" t="s">
        <v>42</v>
      </c>
      <c r="H27" s="124"/>
      <c r="I27" s="122"/>
      <c r="J27" s="122"/>
      <c r="K27" s="125"/>
      <c r="L27" s="126"/>
      <c r="M27" s="75"/>
    </row>
    <row r="28" ht="16.5" customHeight="1">
      <c r="B28" s="99"/>
      <c r="C28" s="100" t="s">
        <v>318</v>
      </c>
      <c r="D28" s="101"/>
      <c r="E28" s="102">
        <v>2.0</v>
      </c>
      <c r="F28" s="103">
        <v>3.0</v>
      </c>
      <c r="G28" s="104" t="s">
        <v>42</v>
      </c>
      <c r="H28" s="105"/>
      <c r="I28" s="103"/>
      <c r="J28" s="103"/>
      <c r="K28" s="103"/>
      <c r="L28" s="107"/>
      <c r="M28" s="75"/>
    </row>
    <row r="29" ht="16.5" customHeight="1">
      <c r="B29" s="99"/>
      <c r="C29" s="100" t="s">
        <v>319</v>
      </c>
      <c r="D29" s="101"/>
      <c r="E29" s="102">
        <v>3.0</v>
      </c>
      <c r="F29" s="103">
        <v>3.0</v>
      </c>
      <c r="G29" s="104" t="s">
        <v>42</v>
      </c>
      <c r="H29" s="105"/>
      <c r="I29" s="103"/>
      <c r="J29" s="103"/>
      <c r="K29" s="103"/>
      <c r="L29" s="107"/>
      <c r="M29" s="75"/>
    </row>
    <row r="30" ht="16.5" customHeight="1">
      <c r="B30" s="108"/>
      <c r="C30" s="100"/>
      <c r="D30" s="101"/>
      <c r="E30" s="102">
        <v>4.0</v>
      </c>
      <c r="F30" s="103">
        <v>3.0</v>
      </c>
      <c r="G30" s="104" t="s">
        <v>42</v>
      </c>
      <c r="H30" s="105"/>
      <c r="I30" s="103"/>
      <c r="J30" s="103"/>
      <c r="K30" s="103"/>
      <c r="L30" s="107"/>
      <c r="M30" s="75"/>
    </row>
    <row r="31" ht="16.5" customHeight="1">
      <c r="B31" s="127"/>
      <c r="C31" s="111" t="str">
        <f>iferror(vlookup(LEFT(C27,LEN(C27)-2)&amp;"*",ExcerciseLookup,3,FALSE),"")</f>
        <v>Video Tutorial</v>
      </c>
      <c r="D31" s="112"/>
      <c r="E31" s="128">
        <v>5.0</v>
      </c>
      <c r="F31" s="129">
        <v>4.0</v>
      </c>
      <c r="G31" s="130" t="s">
        <v>42</v>
      </c>
      <c r="H31" s="131"/>
      <c r="I31" s="129"/>
      <c r="J31" s="129"/>
      <c r="K31" s="129"/>
      <c r="L31" s="132"/>
      <c r="M31" s="75"/>
    </row>
    <row r="32" ht="13.5" customHeight="1">
      <c r="B32" s="20" t="s">
        <v>320</v>
      </c>
      <c r="C32" s="21"/>
      <c r="D32" s="21"/>
      <c r="E32" s="21"/>
      <c r="F32" s="21"/>
      <c r="G32" s="21"/>
      <c r="H32" s="21"/>
      <c r="I32" s="21"/>
      <c r="J32" s="21"/>
      <c r="K32" s="21"/>
      <c r="L32" s="80"/>
    </row>
    <row r="33" ht="13.5" customHeigh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81"/>
    </row>
    <row r="34" ht="16.5" customHeight="1">
      <c r="B34" s="82"/>
      <c r="C34" s="83" t="s">
        <v>31</v>
      </c>
      <c r="D34" s="84"/>
      <c r="E34" s="85" t="s">
        <v>32</v>
      </c>
      <c r="F34" s="86" t="s">
        <v>33</v>
      </c>
      <c r="G34" s="87" t="s">
        <v>34</v>
      </c>
      <c r="H34" s="88" t="s">
        <v>35</v>
      </c>
      <c r="I34" s="88" t="s">
        <v>36</v>
      </c>
      <c r="J34" s="88" t="s">
        <v>37</v>
      </c>
      <c r="K34" s="88" t="s">
        <v>38</v>
      </c>
      <c r="L34" s="89" t="s">
        <v>39</v>
      </c>
    </row>
    <row r="35" ht="16.5" customHeight="1">
      <c r="B35" s="90"/>
      <c r="C35" s="91" t="s">
        <v>271</v>
      </c>
      <c r="D35" s="92"/>
      <c r="E35" s="93">
        <v>1.0</v>
      </c>
      <c r="F35" s="94">
        <v>2.0</v>
      </c>
      <c r="G35" s="95" t="s">
        <v>42</v>
      </c>
      <c r="H35" s="96"/>
      <c r="I35" s="94"/>
      <c r="J35" s="94"/>
      <c r="K35" s="97"/>
      <c r="L35" s="98"/>
      <c r="M35" s="75"/>
    </row>
    <row r="36" ht="16.5" customHeight="1">
      <c r="B36" s="99"/>
      <c r="C36" s="100" t="s">
        <v>321</v>
      </c>
      <c r="D36" s="101"/>
      <c r="E36" s="102">
        <v>2.0</v>
      </c>
      <c r="F36" s="103">
        <v>2.0</v>
      </c>
      <c r="G36" s="104" t="s">
        <v>42</v>
      </c>
      <c r="H36" s="105"/>
      <c r="I36" s="103"/>
      <c r="J36" s="103"/>
      <c r="K36" s="106"/>
      <c r="L36" s="107"/>
      <c r="M36" s="75"/>
    </row>
    <row r="37" ht="16.5" customHeight="1">
      <c r="B37" s="99"/>
      <c r="C37" s="100" t="s">
        <v>322</v>
      </c>
      <c r="D37" s="101"/>
      <c r="E37" s="102">
        <v>3.0</v>
      </c>
      <c r="F37" s="103">
        <v>2.0</v>
      </c>
      <c r="G37" s="104" t="s">
        <v>42</v>
      </c>
      <c r="H37" s="105"/>
      <c r="I37" s="103"/>
      <c r="J37" s="103"/>
      <c r="K37" s="103"/>
      <c r="L37" s="107"/>
      <c r="M37" s="75"/>
    </row>
    <row r="38" ht="16.5" customHeight="1">
      <c r="B38" s="108"/>
      <c r="C38" s="109"/>
      <c r="D38" s="101"/>
      <c r="E38" s="102">
        <v>4.0</v>
      </c>
      <c r="F38" s="103">
        <v>2.0</v>
      </c>
      <c r="G38" s="104" t="s">
        <v>42</v>
      </c>
      <c r="H38" s="105"/>
      <c r="I38" s="103"/>
      <c r="J38" s="103"/>
      <c r="K38" s="103"/>
      <c r="L38" s="107"/>
      <c r="M38" s="75"/>
    </row>
    <row r="39" ht="16.5" customHeight="1">
      <c r="B39" s="127"/>
      <c r="C39" s="111" t="str">
        <f>iferror(vlookup(LEFT(C35,LEN(C35)-2)&amp;"*",ExcerciseLookup,3,FALSE),"")</f>
        <v>Video Tutorial</v>
      </c>
      <c r="D39" s="112"/>
      <c r="E39" s="128">
        <v>5.0</v>
      </c>
      <c r="F39" s="129">
        <v>3.0</v>
      </c>
      <c r="G39" s="130" t="s">
        <v>42</v>
      </c>
      <c r="H39" s="131"/>
      <c r="I39" s="129"/>
      <c r="J39" s="129"/>
      <c r="K39" s="129"/>
      <c r="L39" s="132"/>
      <c r="M39" s="75"/>
    </row>
    <row r="40" ht="16.5" customHeight="1">
      <c r="B40" s="118"/>
      <c r="C40" s="119" t="s">
        <v>323</v>
      </c>
      <c r="D40" s="120"/>
      <c r="E40" s="121">
        <v>1.0</v>
      </c>
      <c r="F40" s="122">
        <v>2.0</v>
      </c>
      <c r="G40" s="123" t="str">
        <f t="shared" ref="G40:G44" si="3">IF(C$40="Cross-Body Carry","20 Steps/Side","20s/Side")</f>
        <v>20 Steps/Side</v>
      </c>
      <c r="H40" s="124"/>
      <c r="I40" s="122"/>
      <c r="J40" s="122"/>
      <c r="K40" s="125"/>
      <c r="L40" s="126"/>
      <c r="M40" s="75"/>
    </row>
    <row r="41" ht="16.5" customHeight="1">
      <c r="B41" s="99"/>
      <c r="C41" s="100" t="s">
        <v>324</v>
      </c>
      <c r="D41" s="101"/>
      <c r="E41" s="102">
        <v>2.0</v>
      </c>
      <c r="F41" s="103">
        <v>2.0</v>
      </c>
      <c r="G41" s="104" t="str">
        <f t="shared" si="3"/>
        <v>20 Steps/Side</v>
      </c>
      <c r="H41" s="105"/>
      <c r="I41" s="103"/>
      <c r="J41" s="103"/>
      <c r="K41" s="103"/>
      <c r="L41" s="107"/>
      <c r="M41" s="75"/>
    </row>
    <row r="42" ht="16.5" customHeight="1">
      <c r="B42" s="99"/>
      <c r="C42" s="100" t="s">
        <v>325</v>
      </c>
      <c r="D42" s="101"/>
      <c r="E42" s="102">
        <v>3.0</v>
      </c>
      <c r="F42" s="103">
        <v>2.0</v>
      </c>
      <c r="G42" s="104" t="str">
        <f t="shared" si="3"/>
        <v>20 Steps/Side</v>
      </c>
      <c r="H42" s="105"/>
      <c r="I42" s="103"/>
      <c r="J42" s="103"/>
      <c r="K42" s="103"/>
      <c r="L42" s="107"/>
      <c r="M42" s="75"/>
    </row>
    <row r="43" ht="16.5" customHeight="1">
      <c r="B43" s="108"/>
      <c r="C43" s="100"/>
      <c r="D43" s="101"/>
      <c r="E43" s="102">
        <v>4.0</v>
      </c>
      <c r="F43" s="103">
        <v>2.0</v>
      </c>
      <c r="G43" s="104" t="str">
        <f t="shared" si="3"/>
        <v>20 Steps/Side</v>
      </c>
      <c r="H43" s="105"/>
      <c r="I43" s="103"/>
      <c r="J43" s="103"/>
      <c r="K43" s="103"/>
      <c r="L43" s="107"/>
      <c r="M43" s="75"/>
    </row>
    <row r="44" ht="16.5" customHeight="1">
      <c r="B44" s="127"/>
      <c r="C44" s="111" t="str">
        <f>iferror(vlookup(LEFT(C40,LEN(C40)-2)&amp;"*",ExcerciseLookup,3,FALSE),"")</f>
        <v>Video Tutorial</v>
      </c>
      <c r="D44" s="112"/>
      <c r="E44" s="128">
        <v>5.0</v>
      </c>
      <c r="F44" s="129">
        <v>3.0</v>
      </c>
      <c r="G44" s="130" t="str">
        <f t="shared" si="3"/>
        <v>20 Steps/Side</v>
      </c>
      <c r="H44" s="131"/>
      <c r="I44" s="129"/>
      <c r="J44" s="129"/>
      <c r="K44" s="129"/>
      <c r="L44" s="132"/>
      <c r="M44" s="75"/>
    </row>
    <row r="45" ht="13.5" customHeight="1">
      <c r="B45" s="20" t="s">
        <v>326</v>
      </c>
      <c r="C45" s="21"/>
      <c r="D45" s="21"/>
      <c r="E45" s="21"/>
      <c r="F45" s="21"/>
      <c r="G45" s="21"/>
      <c r="H45" s="21"/>
      <c r="I45" s="21"/>
      <c r="J45" s="21"/>
      <c r="K45" s="21"/>
      <c r="L45" s="80"/>
    </row>
    <row r="46" ht="13.5" customHeight="1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81"/>
    </row>
    <row r="47" ht="16.5" customHeight="1">
      <c r="B47" s="82"/>
      <c r="C47" s="83" t="s">
        <v>31</v>
      </c>
      <c r="D47" s="84"/>
      <c r="E47" s="85" t="s">
        <v>32</v>
      </c>
      <c r="F47" s="86" t="s">
        <v>33</v>
      </c>
      <c r="G47" s="87" t="s">
        <v>34</v>
      </c>
      <c r="H47" s="88" t="s">
        <v>35</v>
      </c>
      <c r="I47" s="88" t="s">
        <v>36</v>
      </c>
      <c r="J47" s="88" t="s">
        <v>37</v>
      </c>
      <c r="K47" s="88" t="s">
        <v>38</v>
      </c>
      <c r="L47" s="89" t="s">
        <v>39</v>
      </c>
    </row>
    <row r="48" ht="16.5" customHeight="1">
      <c r="B48" s="90"/>
      <c r="C48" s="91" t="s">
        <v>327</v>
      </c>
      <c r="D48" s="92"/>
      <c r="E48" s="93">
        <v>1.0</v>
      </c>
      <c r="F48" s="94">
        <v>2.0</v>
      </c>
      <c r="G48" s="95" t="str">
        <f t="shared" ref="G48:G52" si="4">IF(C$48="Machine Leg Curls",10,"AMRAP")</f>
        <v>AMRAP</v>
      </c>
      <c r="H48" s="96"/>
      <c r="I48" s="94"/>
      <c r="J48" s="94"/>
      <c r="K48" s="97"/>
      <c r="L48" s="98"/>
      <c r="M48" s="75"/>
    </row>
    <row r="49" ht="16.5" customHeight="1">
      <c r="B49" s="99"/>
      <c r="C49" s="100" t="s">
        <v>328</v>
      </c>
      <c r="D49" s="101"/>
      <c r="E49" s="102">
        <v>2.0</v>
      </c>
      <c r="F49" s="103">
        <v>2.0</v>
      </c>
      <c r="G49" s="104" t="str">
        <f t="shared" si="4"/>
        <v>AMRAP</v>
      </c>
      <c r="H49" s="105"/>
      <c r="I49" s="103"/>
      <c r="J49" s="103"/>
      <c r="K49" s="106"/>
      <c r="L49" s="107"/>
      <c r="M49" s="75"/>
    </row>
    <row r="50" ht="16.5" customHeight="1">
      <c r="B50" s="99"/>
      <c r="C50" s="100" t="s">
        <v>329</v>
      </c>
      <c r="D50" s="101"/>
      <c r="E50" s="102">
        <v>3.0</v>
      </c>
      <c r="F50" s="103">
        <v>2.0</v>
      </c>
      <c r="G50" s="104" t="str">
        <f t="shared" si="4"/>
        <v>AMRAP</v>
      </c>
      <c r="H50" s="105"/>
      <c r="I50" s="103"/>
      <c r="J50" s="103"/>
      <c r="K50" s="103"/>
      <c r="L50" s="107"/>
      <c r="M50" s="75"/>
    </row>
    <row r="51" ht="16.5" customHeight="1">
      <c r="B51" s="108"/>
      <c r="C51" s="109"/>
      <c r="D51" s="101"/>
      <c r="E51" s="102">
        <v>4.0</v>
      </c>
      <c r="F51" s="103">
        <v>2.0</v>
      </c>
      <c r="G51" s="104" t="str">
        <f t="shared" si="4"/>
        <v>AMRAP</v>
      </c>
      <c r="H51" s="105"/>
      <c r="I51" s="103"/>
      <c r="J51" s="103"/>
      <c r="K51" s="103"/>
      <c r="L51" s="107"/>
      <c r="M51" s="75"/>
    </row>
    <row r="52" ht="16.5" customHeight="1">
      <c r="B52" s="127"/>
      <c r="C52" s="111" t="str">
        <f>iferror(vlookup(LEFT(C48,LEN(C48)-2)&amp;"*",ExcerciseLookup,3,FALSE),"")</f>
        <v>Video Tutorial</v>
      </c>
      <c r="D52" s="112"/>
      <c r="E52" s="128">
        <v>5.0</v>
      </c>
      <c r="F52" s="129">
        <v>2.0</v>
      </c>
      <c r="G52" s="130" t="str">
        <f t="shared" si="4"/>
        <v>AMRAP</v>
      </c>
      <c r="H52" s="131"/>
      <c r="I52" s="129"/>
      <c r="J52" s="129"/>
      <c r="K52" s="129"/>
      <c r="L52" s="132"/>
      <c r="M52" s="75"/>
    </row>
    <row r="53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</row>
    <row r="54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</row>
    <row r="55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</row>
    <row r="56" ht="15.75" customHeight="1">
      <c r="B56" s="64"/>
      <c r="C56" s="65"/>
      <c r="D56" s="65"/>
      <c r="E56" s="65"/>
      <c r="F56" s="66"/>
      <c r="G56" s="66"/>
      <c r="H56" s="66"/>
      <c r="I56" s="66"/>
      <c r="J56" s="67"/>
      <c r="K56" s="67"/>
      <c r="L56" s="68"/>
    </row>
    <row r="57" ht="15.0" customHeight="1">
      <c r="B57" s="69"/>
      <c r="C57" s="8"/>
      <c r="F57" s="9" t="s">
        <v>330</v>
      </c>
      <c r="G57" s="9"/>
      <c r="H57" s="70"/>
      <c r="I57" s="71"/>
      <c r="J57" s="71"/>
      <c r="K57" s="11"/>
      <c r="L57" s="72"/>
    </row>
    <row r="58" ht="15.0" customHeight="1">
      <c r="B58" s="69"/>
      <c r="F58" s="13" t="s">
        <v>72</v>
      </c>
      <c r="G58" s="13"/>
      <c r="H58" s="73"/>
      <c r="I58" s="74"/>
      <c r="J58" s="74"/>
      <c r="K58" s="14"/>
      <c r="L58" s="72"/>
      <c r="M58" s="75"/>
    </row>
    <row r="59">
      <c r="B59" s="69"/>
      <c r="C59" s="7"/>
      <c r="D59" s="7"/>
      <c r="E59" s="7"/>
      <c r="F59" s="76"/>
      <c r="G59" s="76"/>
      <c r="H59" s="76"/>
      <c r="I59" s="76"/>
      <c r="J59" s="77"/>
      <c r="K59" s="77"/>
      <c r="L59" s="78"/>
      <c r="M59" s="79"/>
    </row>
    <row r="60" ht="13.5" customHeight="1">
      <c r="B60" s="20" t="s">
        <v>331</v>
      </c>
      <c r="C60" s="21"/>
      <c r="D60" s="21"/>
      <c r="E60" s="21"/>
      <c r="F60" s="21"/>
      <c r="G60" s="21"/>
      <c r="H60" s="21"/>
      <c r="I60" s="21"/>
      <c r="J60" s="21"/>
      <c r="K60" s="21"/>
      <c r="L60" s="80"/>
    </row>
    <row r="61" ht="13.5" customHeight="1"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81"/>
    </row>
    <row r="62">
      <c r="B62" s="82"/>
      <c r="C62" s="83" t="s">
        <v>31</v>
      </c>
      <c r="D62" s="84"/>
      <c r="E62" s="85" t="s">
        <v>32</v>
      </c>
      <c r="F62" s="86" t="s">
        <v>33</v>
      </c>
      <c r="G62" s="87" t="s">
        <v>34</v>
      </c>
      <c r="H62" s="88" t="s">
        <v>35</v>
      </c>
      <c r="I62" s="88" t="s">
        <v>36</v>
      </c>
      <c r="J62" s="88" t="s">
        <v>37</v>
      </c>
      <c r="K62" s="88" t="s">
        <v>38</v>
      </c>
      <c r="L62" s="89" t="s">
        <v>39</v>
      </c>
    </row>
    <row r="63">
      <c r="B63" s="90"/>
      <c r="C63" s="91" t="s">
        <v>148</v>
      </c>
      <c r="D63" s="92"/>
      <c r="E63" s="93">
        <v>1.0</v>
      </c>
      <c r="F63" s="94">
        <v>2.0</v>
      </c>
      <c r="G63" s="95">
        <f t="shared" ref="G63:G67" si="5">IF(C$109="Double-Dumbbell Front Squat",12,6)</f>
        <v>6</v>
      </c>
      <c r="H63" s="96"/>
      <c r="I63" s="94"/>
      <c r="J63" s="94"/>
      <c r="K63" s="97"/>
      <c r="L63" s="98"/>
    </row>
    <row r="64">
      <c r="B64" s="99"/>
      <c r="C64" s="100" t="s">
        <v>332</v>
      </c>
      <c r="D64" s="101"/>
      <c r="E64" s="102">
        <v>2.0</v>
      </c>
      <c r="F64" s="103">
        <v>3.0</v>
      </c>
      <c r="G64" s="104">
        <f t="shared" si="5"/>
        <v>6</v>
      </c>
      <c r="H64" s="105"/>
      <c r="I64" s="103"/>
      <c r="J64" s="103"/>
      <c r="K64" s="106"/>
      <c r="L64" s="107"/>
    </row>
    <row r="65">
      <c r="B65" s="99"/>
      <c r="C65" s="100" t="s">
        <v>333</v>
      </c>
      <c r="D65" s="101"/>
      <c r="E65" s="102">
        <v>3.0</v>
      </c>
      <c r="F65" s="103">
        <v>4.0</v>
      </c>
      <c r="G65" s="104">
        <f t="shared" si="5"/>
        <v>6</v>
      </c>
      <c r="H65" s="105"/>
      <c r="I65" s="103"/>
      <c r="J65" s="103"/>
      <c r="K65" s="103"/>
      <c r="L65" s="107"/>
      <c r="M65" s="75"/>
    </row>
    <row r="66">
      <c r="B66" s="108"/>
      <c r="C66" s="109"/>
      <c r="D66" s="101"/>
      <c r="E66" s="102">
        <v>4.0</v>
      </c>
      <c r="F66" s="103">
        <v>4.0</v>
      </c>
      <c r="G66" s="104">
        <f t="shared" si="5"/>
        <v>6</v>
      </c>
      <c r="H66" s="105"/>
      <c r="I66" s="103"/>
      <c r="J66" s="103"/>
      <c r="K66" s="103"/>
      <c r="L66" s="107"/>
      <c r="M66" s="75"/>
    </row>
    <row r="67">
      <c r="B67" s="127"/>
      <c r="C67" s="111" t="str">
        <f>iferror(vlookup(LEFT(C63,LEN(C63)-2)&amp;"*",ExcerciseLookup,3,FALSE),"")</f>
        <v>Video Tutorial</v>
      </c>
      <c r="D67" s="112"/>
      <c r="E67" s="128">
        <v>5.0</v>
      </c>
      <c r="F67" s="129">
        <v>5.0</v>
      </c>
      <c r="G67" s="130">
        <f t="shared" si="5"/>
        <v>6</v>
      </c>
      <c r="H67" s="131"/>
      <c r="I67" s="129"/>
      <c r="J67" s="129"/>
      <c r="K67" s="129"/>
      <c r="L67" s="132"/>
      <c r="M67" s="75"/>
    </row>
    <row r="68">
      <c r="B68" s="118"/>
      <c r="C68" s="119" t="s">
        <v>50</v>
      </c>
      <c r="D68" s="120"/>
      <c r="E68" s="121">
        <v>1.0</v>
      </c>
      <c r="F68" s="122">
        <v>2.0</v>
      </c>
      <c r="G68" s="123">
        <f t="shared" ref="G68:G72" si="6">IF(C$68="Chin-Ups","AMRAP",6)</f>
        <v>6</v>
      </c>
      <c r="H68" s="124"/>
      <c r="I68" s="122"/>
      <c r="J68" s="122"/>
      <c r="K68" s="125"/>
      <c r="L68" s="126"/>
      <c r="M68" s="75"/>
    </row>
    <row r="69">
      <c r="B69" s="99"/>
      <c r="C69" s="100" t="s">
        <v>334</v>
      </c>
      <c r="D69" s="101"/>
      <c r="E69" s="102">
        <v>2.0</v>
      </c>
      <c r="F69" s="103">
        <v>3.0</v>
      </c>
      <c r="G69" s="104">
        <f t="shared" si="6"/>
        <v>6</v>
      </c>
      <c r="H69" s="105"/>
      <c r="I69" s="103"/>
      <c r="J69" s="103"/>
      <c r="K69" s="103"/>
      <c r="L69" s="107"/>
      <c r="M69" s="75"/>
    </row>
    <row r="70">
      <c r="B70" s="99"/>
      <c r="C70" s="100" t="s">
        <v>335</v>
      </c>
      <c r="D70" s="101"/>
      <c r="E70" s="102">
        <v>3.0</v>
      </c>
      <c r="F70" s="103">
        <v>4.0</v>
      </c>
      <c r="G70" s="104">
        <f t="shared" si="6"/>
        <v>6</v>
      </c>
      <c r="H70" s="105"/>
      <c r="I70" s="103"/>
      <c r="J70" s="103"/>
      <c r="K70" s="103"/>
      <c r="L70" s="107"/>
    </row>
    <row r="71">
      <c r="B71" s="108"/>
      <c r="C71" s="100"/>
      <c r="D71" s="101"/>
      <c r="E71" s="102">
        <v>4.0</v>
      </c>
      <c r="F71" s="103">
        <v>4.0</v>
      </c>
      <c r="G71" s="104">
        <f t="shared" si="6"/>
        <v>6</v>
      </c>
      <c r="H71" s="105"/>
      <c r="I71" s="103"/>
      <c r="J71" s="103"/>
      <c r="K71" s="103"/>
      <c r="L71" s="107"/>
    </row>
    <row r="72">
      <c r="B72" s="127"/>
      <c r="C72" s="111" t="str">
        <f>iferror(vlookup(LEFT(C68,LEN(C68)-2)&amp;"*",ExcerciseLookup,3,FALSE),"")</f>
        <v>Video Tutorial</v>
      </c>
      <c r="D72" s="112"/>
      <c r="E72" s="128">
        <v>5.0</v>
      </c>
      <c r="F72" s="129">
        <v>5.0</v>
      </c>
      <c r="G72" s="130">
        <f t="shared" si="6"/>
        <v>6</v>
      </c>
      <c r="H72" s="131"/>
      <c r="I72" s="129"/>
      <c r="J72" s="129"/>
      <c r="K72" s="129"/>
      <c r="L72" s="132"/>
    </row>
    <row r="73">
      <c r="B73" s="20" t="s">
        <v>336</v>
      </c>
      <c r="C73" s="21"/>
      <c r="D73" s="21"/>
      <c r="E73" s="21"/>
      <c r="F73" s="21"/>
      <c r="G73" s="21"/>
      <c r="H73" s="21"/>
      <c r="I73" s="21"/>
      <c r="J73" s="21"/>
      <c r="K73" s="21"/>
      <c r="L73" s="80"/>
    </row>
    <row r="74" ht="13.5" customHeight="1"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81"/>
    </row>
    <row r="75">
      <c r="B75" s="82"/>
      <c r="C75" s="83" t="s">
        <v>31</v>
      </c>
      <c r="D75" s="84"/>
      <c r="E75" s="85" t="s">
        <v>32</v>
      </c>
      <c r="F75" s="86" t="s">
        <v>33</v>
      </c>
      <c r="G75" s="87" t="s">
        <v>34</v>
      </c>
      <c r="H75" s="88" t="s">
        <v>35</v>
      </c>
      <c r="I75" s="88" t="s">
        <v>36</v>
      </c>
      <c r="J75" s="88" t="s">
        <v>37</v>
      </c>
      <c r="K75" s="88" t="s">
        <v>38</v>
      </c>
      <c r="L75" s="89" t="s">
        <v>39</v>
      </c>
    </row>
    <row r="76">
      <c r="B76" s="90"/>
      <c r="C76" s="91" t="s">
        <v>22</v>
      </c>
      <c r="D76" s="92"/>
      <c r="E76" s="93">
        <v>1.0</v>
      </c>
      <c r="F76" s="94">
        <v>2.0</v>
      </c>
      <c r="G76" s="95" t="str">
        <f t="shared" ref="G76:G80" si="7">IF(C$76="Weighted Push-Ups",10,"AMRAP")</f>
        <v>AMRAP</v>
      </c>
      <c r="H76" s="96"/>
      <c r="I76" s="94"/>
      <c r="J76" s="94"/>
      <c r="K76" s="97"/>
      <c r="L76" s="98"/>
    </row>
    <row r="77">
      <c r="B77" s="99"/>
      <c r="C77" s="100" t="s">
        <v>337</v>
      </c>
      <c r="D77" s="101"/>
      <c r="E77" s="102">
        <v>2.0</v>
      </c>
      <c r="F77" s="103">
        <v>3.0</v>
      </c>
      <c r="G77" s="104" t="str">
        <f t="shared" si="7"/>
        <v>AMRAP</v>
      </c>
      <c r="H77" s="105"/>
      <c r="I77" s="103"/>
      <c r="J77" s="103"/>
      <c r="K77" s="106"/>
      <c r="L77" s="107"/>
    </row>
    <row r="78">
      <c r="B78" s="99"/>
      <c r="C78" s="100" t="s">
        <v>338</v>
      </c>
      <c r="D78" s="101"/>
      <c r="E78" s="102">
        <v>3.0</v>
      </c>
      <c r="F78" s="103">
        <v>4.0</v>
      </c>
      <c r="G78" s="104" t="str">
        <f t="shared" si="7"/>
        <v>AMRAP</v>
      </c>
      <c r="H78" s="105"/>
      <c r="I78" s="103"/>
      <c r="J78" s="103"/>
      <c r="K78" s="103"/>
      <c r="L78" s="107"/>
    </row>
    <row r="79">
      <c r="B79" s="108"/>
      <c r="C79" s="109"/>
      <c r="D79" s="101"/>
      <c r="E79" s="102">
        <v>4.0</v>
      </c>
      <c r="F79" s="103">
        <v>4.0</v>
      </c>
      <c r="G79" s="104" t="str">
        <f t="shared" si="7"/>
        <v>AMRAP</v>
      </c>
      <c r="H79" s="105"/>
      <c r="I79" s="103"/>
      <c r="J79" s="103"/>
      <c r="K79" s="103"/>
      <c r="L79" s="107"/>
    </row>
    <row r="80">
      <c r="B80" s="127"/>
      <c r="C80" s="111" t="str">
        <f>iferror(vlookup(LEFT(C76,LEN(C76)-2)&amp;"*",ExcerciseLookup,3,FALSE),"")</f>
        <v>Video Tutorial</v>
      </c>
      <c r="D80" s="112"/>
      <c r="E80" s="128">
        <v>5.0</v>
      </c>
      <c r="F80" s="129">
        <v>4.0</v>
      </c>
      <c r="G80" s="130" t="str">
        <f t="shared" si="7"/>
        <v>AMRAP</v>
      </c>
      <c r="H80" s="131"/>
      <c r="I80" s="129"/>
      <c r="J80" s="129"/>
      <c r="K80" s="129"/>
      <c r="L80" s="132"/>
    </row>
    <row r="81">
      <c r="B81" s="118"/>
      <c r="C81" s="119" t="s">
        <v>339</v>
      </c>
      <c r="D81" s="120"/>
      <c r="E81" s="121">
        <v>1.0</v>
      </c>
      <c r="F81" s="122">
        <v>2.0</v>
      </c>
      <c r="G81" s="123">
        <v>10.0</v>
      </c>
      <c r="H81" s="124"/>
      <c r="I81" s="122"/>
      <c r="J81" s="122"/>
      <c r="K81" s="125"/>
      <c r="L81" s="126"/>
    </row>
    <row r="82">
      <c r="B82" s="99"/>
      <c r="C82" s="100" t="s">
        <v>340</v>
      </c>
      <c r="D82" s="101"/>
      <c r="E82" s="102">
        <v>2.0</v>
      </c>
      <c r="F82" s="103">
        <v>3.0</v>
      </c>
      <c r="G82" s="104">
        <v>10.0</v>
      </c>
      <c r="H82" s="105"/>
      <c r="I82" s="103"/>
      <c r="J82" s="103"/>
      <c r="K82" s="103"/>
      <c r="L82" s="107"/>
    </row>
    <row r="83">
      <c r="B83" s="99"/>
      <c r="C83" s="100" t="s">
        <v>341</v>
      </c>
      <c r="D83" s="101"/>
      <c r="E83" s="102">
        <v>3.0</v>
      </c>
      <c r="F83" s="103">
        <v>3.0</v>
      </c>
      <c r="G83" s="104">
        <v>10.0</v>
      </c>
      <c r="H83" s="105"/>
      <c r="I83" s="103"/>
      <c r="J83" s="103"/>
      <c r="K83" s="103"/>
      <c r="L83" s="107"/>
    </row>
    <row r="84">
      <c r="B84" s="108"/>
      <c r="C84" s="100"/>
      <c r="D84" s="101"/>
      <c r="E84" s="102">
        <v>4.0</v>
      </c>
      <c r="F84" s="103">
        <v>3.0</v>
      </c>
      <c r="G84" s="104">
        <v>10.0</v>
      </c>
      <c r="H84" s="105"/>
      <c r="I84" s="103"/>
      <c r="J84" s="103"/>
      <c r="K84" s="103"/>
      <c r="L84" s="107"/>
    </row>
    <row r="85">
      <c r="B85" s="127"/>
      <c r="C85" s="111" t="str">
        <f>iferror(vlookup(LEFT(C81,LEN(C81)-2)&amp;"*",ExcerciseLookup,3,FALSE),"")</f>
        <v>Video Tutorial</v>
      </c>
      <c r="D85" s="112"/>
      <c r="E85" s="128">
        <v>5.0</v>
      </c>
      <c r="F85" s="129">
        <v>3.0</v>
      </c>
      <c r="G85" s="130">
        <v>10.0</v>
      </c>
      <c r="H85" s="131"/>
      <c r="I85" s="129"/>
      <c r="J85" s="129"/>
      <c r="K85" s="129"/>
      <c r="L85" s="132"/>
    </row>
    <row r="86" ht="13.5" customHeight="1">
      <c r="B86" s="20" t="s">
        <v>342</v>
      </c>
      <c r="C86" s="21"/>
      <c r="D86" s="21"/>
      <c r="E86" s="21"/>
      <c r="F86" s="21"/>
      <c r="G86" s="21"/>
      <c r="H86" s="21"/>
      <c r="I86" s="21"/>
      <c r="J86" s="21"/>
      <c r="K86" s="21"/>
      <c r="L86" s="80"/>
    </row>
    <row r="87" ht="13.5" customHeight="1"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81"/>
    </row>
    <row r="88">
      <c r="B88" s="82"/>
      <c r="C88" s="83" t="s">
        <v>31</v>
      </c>
      <c r="D88" s="84"/>
      <c r="E88" s="85" t="s">
        <v>32</v>
      </c>
      <c r="F88" s="86" t="s">
        <v>33</v>
      </c>
      <c r="G88" s="87" t="s">
        <v>34</v>
      </c>
      <c r="H88" s="88" t="s">
        <v>35</v>
      </c>
      <c r="I88" s="88" t="s">
        <v>36</v>
      </c>
      <c r="J88" s="88" t="s">
        <v>37</v>
      </c>
      <c r="K88" s="88" t="s">
        <v>38</v>
      </c>
      <c r="L88" s="89" t="s">
        <v>39</v>
      </c>
    </row>
    <row r="89">
      <c r="B89" s="90"/>
      <c r="C89" s="91" t="s">
        <v>343</v>
      </c>
      <c r="D89" s="92"/>
      <c r="E89" s="93">
        <v>1.0</v>
      </c>
      <c r="F89" s="94">
        <v>2.0</v>
      </c>
      <c r="G89" s="95">
        <v>18.0</v>
      </c>
      <c r="H89" s="96"/>
      <c r="I89" s="94"/>
      <c r="J89" s="94"/>
      <c r="K89" s="97"/>
      <c r="L89" s="98"/>
    </row>
    <row r="90">
      <c r="B90" s="99"/>
      <c r="C90" s="100" t="s">
        <v>344</v>
      </c>
      <c r="D90" s="101"/>
      <c r="E90" s="102">
        <v>2.0</v>
      </c>
      <c r="F90" s="103">
        <v>3.0</v>
      </c>
      <c r="G90" s="104">
        <v>18.0</v>
      </c>
      <c r="H90" s="105"/>
      <c r="I90" s="103"/>
      <c r="J90" s="103"/>
      <c r="K90" s="106"/>
      <c r="L90" s="107"/>
    </row>
    <row r="91">
      <c r="B91" s="99"/>
      <c r="C91" s="100" t="s">
        <v>345</v>
      </c>
      <c r="D91" s="101"/>
      <c r="E91" s="102">
        <v>3.0</v>
      </c>
      <c r="F91" s="103">
        <v>3.0</v>
      </c>
      <c r="G91" s="104">
        <v>18.0</v>
      </c>
      <c r="H91" s="105"/>
      <c r="I91" s="103"/>
      <c r="J91" s="103"/>
      <c r="K91" s="103"/>
      <c r="L91" s="107"/>
    </row>
    <row r="92">
      <c r="B92" s="108"/>
      <c r="C92" s="109"/>
      <c r="D92" s="101"/>
      <c r="E92" s="102">
        <v>4.0</v>
      </c>
      <c r="F92" s="103">
        <v>3.0</v>
      </c>
      <c r="G92" s="104">
        <v>18.0</v>
      </c>
      <c r="H92" s="105"/>
      <c r="I92" s="103"/>
      <c r="J92" s="103"/>
      <c r="K92" s="103"/>
      <c r="L92" s="107"/>
    </row>
    <row r="93">
      <c r="B93" s="127"/>
      <c r="C93" s="111" t="str">
        <f>iferror(vlookup(LEFT(C89,LEN(C89)-2)&amp;"*",ExcerciseLookup,3,FALSE),"")</f>
        <v>Video Tutorial</v>
      </c>
      <c r="D93" s="112"/>
      <c r="E93" s="128">
        <v>5.0</v>
      </c>
      <c r="F93" s="129">
        <v>4.0</v>
      </c>
      <c r="G93" s="130">
        <v>18.0</v>
      </c>
      <c r="H93" s="131"/>
      <c r="I93" s="129"/>
      <c r="J93" s="129"/>
      <c r="K93" s="129"/>
      <c r="L93" s="132"/>
    </row>
    <row r="94">
      <c r="B94" s="118"/>
      <c r="C94" s="119" t="s">
        <v>161</v>
      </c>
      <c r="D94" s="120"/>
      <c r="E94" s="121">
        <v>1.0</v>
      </c>
      <c r="F94" s="122">
        <v>2.0</v>
      </c>
      <c r="G94" s="123">
        <v>18.0</v>
      </c>
      <c r="H94" s="124"/>
      <c r="I94" s="122"/>
      <c r="J94" s="122"/>
      <c r="K94" s="125"/>
      <c r="L94" s="126"/>
    </row>
    <row r="95">
      <c r="B95" s="99"/>
      <c r="C95" s="100" t="s">
        <v>346</v>
      </c>
      <c r="D95" s="101"/>
      <c r="E95" s="102">
        <v>2.0</v>
      </c>
      <c r="F95" s="103">
        <v>3.0</v>
      </c>
      <c r="G95" s="104">
        <v>18.0</v>
      </c>
      <c r="H95" s="105"/>
      <c r="I95" s="103"/>
      <c r="J95" s="103"/>
      <c r="K95" s="103"/>
      <c r="L95" s="107"/>
    </row>
    <row r="96">
      <c r="B96" s="99"/>
      <c r="C96" s="100" t="s">
        <v>347</v>
      </c>
      <c r="D96" s="101"/>
      <c r="E96" s="102">
        <v>3.0</v>
      </c>
      <c r="F96" s="103">
        <v>3.0</v>
      </c>
      <c r="G96" s="104">
        <v>18.0</v>
      </c>
      <c r="H96" s="105"/>
      <c r="I96" s="103"/>
      <c r="J96" s="103"/>
      <c r="K96" s="103"/>
      <c r="L96" s="107"/>
    </row>
    <row r="97">
      <c r="B97" s="108"/>
      <c r="C97" s="100"/>
      <c r="D97" s="101"/>
      <c r="E97" s="102">
        <v>4.0</v>
      </c>
      <c r="F97" s="103">
        <v>3.0</v>
      </c>
      <c r="G97" s="104">
        <v>18.0</v>
      </c>
      <c r="H97" s="105"/>
      <c r="I97" s="103"/>
      <c r="J97" s="103"/>
      <c r="K97" s="103"/>
      <c r="L97" s="107"/>
    </row>
    <row r="98">
      <c r="B98" s="127"/>
      <c r="C98" s="111" t="str">
        <f>iferror(vlookup(LEFT(C94,LEN(C94)-2)&amp;"*",ExcerciseLookup,3,FALSE),"")</f>
        <v>Video Tutorial</v>
      </c>
      <c r="D98" s="112"/>
      <c r="E98" s="128">
        <v>5.0</v>
      </c>
      <c r="F98" s="129">
        <v>4.0</v>
      </c>
      <c r="G98" s="130">
        <v>18.0</v>
      </c>
      <c r="H98" s="131"/>
      <c r="I98" s="129"/>
      <c r="J98" s="129"/>
      <c r="K98" s="129"/>
      <c r="L98" s="132"/>
    </row>
    <row r="99" ht="13.5" customHeight="1">
      <c r="B99" s="20" t="s">
        <v>348</v>
      </c>
      <c r="C99" s="21"/>
      <c r="D99" s="21"/>
      <c r="E99" s="21"/>
      <c r="F99" s="21"/>
      <c r="G99" s="21"/>
      <c r="H99" s="21"/>
      <c r="I99" s="21"/>
      <c r="J99" s="21"/>
      <c r="K99" s="21"/>
      <c r="L99" s="80"/>
    </row>
    <row r="100" ht="13.5" customHeight="1"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81"/>
    </row>
    <row r="101">
      <c r="B101" s="82"/>
      <c r="C101" s="83" t="s">
        <v>31</v>
      </c>
      <c r="D101" s="84"/>
      <c r="E101" s="85" t="s">
        <v>32</v>
      </c>
      <c r="F101" s="86" t="s">
        <v>33</v>
      </c>
      <c r="G101" s="87" t="s">
        <v>34</v>
      </c>
      <c r="H101" s="88" t="s">
        <v>35</v>
      </c>
      <c r="I101" s="88" t="s">
        <v>36</v>
      </c>
      <c r="J101" s="88" t="s">
        <v>37</v>
      </c>
      <c r="K101" s="88" t="s">
        <v>38</v>
      </c>
      <c r="L101" s="89" t="s">
        <v>39</v>
      </c>
    </row>
    <row r="102">
      <c r="B102" s="90"/>
      <c r="C102" s="91" t="s">
        <v>349</v>
      </c>
      <c r="D102" s="92"/>
      <c r="E102" s="93">
        <v>1.0</v>
      </c>
      <c r="F102" s="94">
        <v>2.0</v>
      </c>
      <c r="G102" s="95">
        <f t="shared" ref="G102:G106" si="8">IF(C$102="Bodyweight Hip Thrusts","AMRAP",12)</f>
        <v>12</v>
      </c>
      <c r="H102" s="96"/>
      <c r="I102" s="94"/>
      <c r="J102" s="94"/>
      <c r="K102" s="97"/>
      <c r="L102" s="98"/>
    </row>
    <row r="103">
      <c r="B103" s="99"/>
      <c r="C103" s="100" t="s">
        <v>350</v>
      </c>
      <c r="D103" s="101"/>
      <c r="E103" s="102">
        <v>2.0</v>
      </c>
      <c r="F103" s="103">
        <v>2.0</v>
      </c>
      <c r="G103" s="104">
        <f t="shared" si="8"/>
        <v>12</v>
      </c>
      <c r="H103" s="105"/>
      <c r="I103" s="103"/>
      <c r="J103" s="103"/>
      <c r="K103" s="106"/>
      <c r="L103" s="107"/>
    </row>
    <row r="104">
      <c r="B104" s="99"/>
      <c r="C104" s="100" t="s">
        <v>351</v>
      </c>
      <c r="D104" s="101"/>
      <c r="E104" s="102">
        <v>3.0</v>
      </c>
      <c r="F104" s="103">
        <v>2.0</v>
      </c>
      <c r="G104" s="104">
        <f t="shared" si="8"/>
        <v>12</v>
      </c>
      <c r="H104" s="105"/>
      <c r="I104" s="103"/>
      <c r="J104" s="103"/>
      <c r="K104" s="103"/>
      <c r="L104" s="107"/>
    </row>
    <row r="105">
      <c r="B105" s="108"/>
      <c r="C105" s="109"/>
      <c r="D105" s="101"/>
      <c r="E105" s="102">
        <v>4.0</v>
      </c>
      <c r="F105" s="103">
        <v>2.0</v>
      </c>
      <c r="G105" s="104">
        <f t="shared" si="8"/>
        <v>12</v>
      </c>
      <c r="H105" s="105"/>
      <c r="I105" s="103"/>
      <c r="J105" s="103"/>
      <c r="K105" s="103"/>
      <c r="L105" s="107"/>
    </row>
    <row r="106">
      <c r="B106" s="127"/>
      <c r="C106" s="111" t="str">
        <f>iferror(vlookup(LEFT(C102,LEN(C102)-2)&amp;"*",ExcerciseLookup,3,FALSE),"")</f>
        <v>Video Tutorial</v>
      </c>
      <c r="D106" s="112"/>
      <c r="E106" s="128">
        <v>5.0</v>
      </c>
      <c r="F106" s="129">
        <v>2.0</v>
      </c>
      <c r="G106" s="130">
        <f t="shared" si="8"/>
        <v>12</v>
      </c>
      <c r="H106" s="131"/>
      <c r="I106" s="129"/>
      <c r="J106" s="129"/>
      <c r="K106" s="129"/>
      <c r="L106" s="132"/>
    </row>
    <row r="107"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</row>
    <row r="108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</row>
    <row r="109"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</row>
    <row r="110" ht="15.75" customHeight="1">
      <c r="B110" s="64"/>
      <c r="C110" s="65"/>
      <c r="D110" s="65"/>
      <c r="E110" s="65"/>
      <c r="F110" s="66"/>
      <c r="G110" s="66"/>
      <c r="H110" s="66"/>
      <c r="I110" s="66"/>
      <c r="J110" s="67"/>
      <c r="K110" s="67"/>
      <c r="L110" s="68"/>
    </row>
    <row r="111" ht="15.0" customHeight="1">
      <c r="B111" s="69"/>
      <c r="C111" s="8"/>
      <c r="F111" s="9" t="s">
        <v>330</v>
      </c>
      <c r="G111" s="9"/>
      <c r="H111" s="70"/>
      <c r="I111" s="71"/>
      <c r="J111" s="71"/>
      <c r="K111" s="11"/>
      <c r="L111" s="72"/>
    </row>
    <row r="112" ht="15.0" customHeight="1">
      <c r="B112" s="69"/>
      <c r="F112" s="13" t="s">
        <v>97</v>
      </c>
      <c r="G112" s="13"/>
      <c r="H112" s="73"/>
      <c r="I112" s="74"/>
      <c r="J112" s="74"/>
      <c r="K112" s="14"/>
      <c r="L112" s="72"/>
      <c r="M112" s="75"/>
    </row>
    <row r="113">
      <c r="B113" s="69"/>
      <c r="C113" s="7"/>
      <c r="D113" s="7"/>
      <c r="E113" s="7"/>
      <c r="F113" s="76"/>
      <c r="G113" s="76"/>
      <c r="H113" s="76"/>
      <c r="I113" s="76"/>
      <c r="J113" s="77"/>
      <c r="K113" s="77"/>
      <c r="L113" s="78"/>
      <c r="M113" s="79"/>
    </row>
    <row r="114" ht="13.5" customHeight="1">
      <c r="B114" s="20" t="s">
        <v>352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80"/>
    </row>
    <row r="115" ht="13.5" customHeight="1">
      <c r="B115" s="22"/>
      <c r="C115" s="23"/>
      <c r="D115" s="23"/>
      <c r="E115" s="23"/>
      <c r="F115" s="23"/>
      <c r="G115" s="23"/>
      <c r="H115" s="23"/>
      <c r="I115" s="23"/>
      <c r="J115" s="23"/>
      <c r="K115" s="23"/>
      <c r="L115" s="81"/>
    </row>
    <row r="116">
      <c r="B116" s="82"/>
      <c r="C116" s="83" t="s">
        <v>31</v>
      </c>
      <c r="D116" s="84"/>
      <c r="E116" s="85" t="s">
        <v>32</v>
      </c>
      <c r="F116" s="86" t="s">
        <v>33</v>
      </c>
      <c r="G116" s="87" t="s">
        <v>34</v>
      </c>
      <c r="H116" s="88" t="s">
        <v>35</v>
      </c>
      <c r="I116" s="88" t="s">
        <v>36</v>
      </c>
      <c r="J116" s="88" t="s">
        <v>37</v>
      </c>
      <c r="K116" s="88" t="s">
        <v>38</v>
      </c>
      <c r="L116" s="89" t="s">
        <v>39</v>
      </c>
    </row>
    <row r="117">
      <c r="B117" s="90"/>
      <c r="C117" s="91" t="s">
        <v>293</v>
      </c>
      <c r="D117" s="92"/>
      <c r="E117" s="93">
        <v>1.0</v>
      </c>
      <c r="F117" s="94">
        <v>2.0</v>
      </c>
      <c r="G117" s="95">
        <f t="shared" ref="G117:G121" si="9">IF(C$117="Barbell Bench Press",6,8)</f>
        <v>6</v>
      </c>
      <c r="H117" s="96"/>
      <c r="I117" s="94"/>
      <c r="J117" s="94"/>
      <c r="K117" s="97"/>
      <c r="L117" s="98"/>
    </row>
    <row r="118">
      <c r="B118" s="99"/>
      <c r="C118" s="100" t="s">
        <v>353</v>
      </c>
      <c r="D118" s="101"/>
      <c r="E118" s="102">
        <v>2.0</v>
      </c>
      <c r="F118" s="103">
        <v>4.0</v>
      </c>
      <c r="G118" s="104">
        <f t="shared" si="9"/>
        <v>6</v>
      </c>
      <c r="H118" s="105"/>
      <c r="I118" s="103"/>
      <c r="J118" s="103"/>
      <c r="K118" s="106"/>
      <c r="L118" s="107"/>
    </row>
    <row r="119">
      <c r="B119" s="99"/>
      <c r="C119" s="100" t="s">
        <v>354</v>
      </c>
      <c r="D119" s="101"/>
      <c r="E119" s="102">
        <v>3.0</v>
      </c>
      <c r="F119" s="103">
        <v>4.0</v>
      </c>
      <c r="G119" s="104">
        <f t="shared" si="9"/>
        <v>6</v>
      </c>
      <c r="H119" s="105"/>
      <c r="I119" s="103"/>
      <c r="J119" s="103"/>
      <c r="K119" s="103"/>
      <c r="L119" s="107"/>
      <c r="M119" s="75"/>
    </row>
    <row r="120">
      <c r="B120" s="108"/>
      <c r="C120" s="109"/>
      <c r="D120" s="101"/>
      <c r="E120" s="102">
        <v>4.0</v>
      </c>
      <c r="F120" s="103">
        <v>4.0</v>
      </c>
      <c r="G120" s="104">
        <f t="shared" si="9"/>
        <v>6</v>
      </c>
      <c r="H120" s="105"/>
      <c r="I120" s="103"/>
      <c r="J120" s="103"/>
      <c r="K120" s="103"/>
      <c r="L120" s="107"/>
      <c r="M120" s="75"/>
    </row>
    <row r="121">
      <c r="B121" s="127"/>
      <c r="C121" s="111" t="str">
        <f>iferror(vlookup(LEFT(C117,LEN(C117)-2)&amp;"*",ExcerciseLookup,3,FALSE),"")</f>
        <v>Video Tutorial</v>
      </c>
      <c r="D121" s="112"/>
      <c r="E121" s="128">
        <v>5.0</v>
      </c>
      <c r="F121" s="129">
        <v>5.0</v>
      </c>
      <c r="G121" s="130">
        <f t="shared" si="9"/>
        <v>6</v>
      </c>
      <c r="H121" s="131"/>
      <c r="I121" s="129"/>
      <c r="J121" s="129"/>
      <c r="K121" s="129"/>
      <c r="L121" s="132"/>
      <c r="M121" s="75"/>
    </row>
    <row r="122">
      <c r="B122" s="118"/>
      <c r="C122" s="119" t="s">
        <v>213</v>
      </c>
      <c r="D122" s="120"/>
      <c r="E122" s="121">
        <v>1.0</v>
      </c>
      <c r="F122" s="122">
        <v>2.0</v>
      </c>
      <c r="G122" s="123" t="str">
        <f t="shared" ref="G122:G126" si="10">IF(C$122="Chin-Ups","AMRAP",8)</f>
        <v>AMRAP</v>
      </c>
      <c r="H122" s="124"/>
      <c r="I122" s="122"/>
      <c r="J122" s="122"/>
      <c r="K122" s="125"/>
      <c r="L122" s="126"/>
      <c r="M122" s="75"/>
    </row>
    <row r="123">
      <c r="B123" s="99"/>
      <c r="C123" s="100" t="s">
        <v>355</v>
      </c>
      <c r="D123" s="101"/>
      <c r="E123" s="102">
        <v>2.0</v>
      </c>
      <c r="F123" s="103">
        <v>4.0</v>
      </c>
      <c r="G123" s="104" t="str">
        <f t="shared" si="10"/>
        <v>AMRAP</v>
      </c>
      <c r="H123" s="105"/>
      <c r="I123" s="103"/>
      <c r="J123" s="103"/>
      <c r="K123" s="103"/>
      <c r="L123" s="107"/>
      <c r="M123" s="75"/>
    </row>
    <row r="124">
      <c r="B124" s="99"/>
      <c r="C124" s="100" t="s">
        <v>356</v>
      </c>
      <c r="D124" s="101"/>
      <c r="E124" s="102">
        <v>3.0</v>
      </c>
      <c r="F124" s="103">
        <v>4.0</v>
      </c>
      <c r="G124" s="104" t="str">
        <f t="shared" si="10"/>
        <v>AMRAP</v>
      </c>
      <c r="H124" s="105"/>
      <c r="I124" s="103"/>
      <c r="J124" s="103"/>
      <c r="K124" s="103"/>
      <c r="L124" s="107"/>
    </row>
    <row r="125">
      <c r="B125" s="108"/>
      <c r="C125" s="100"/>
      <c r="D125" s="101"/>
      <c r="E125" s="102">
        <v>4.0</v>
      </c>
      <c r="F125" s="103">
        <v>4.0</v>
      </c>
      <c r="G125" s="104" t="str">
        <f t="shared" si="10"/>
        <v>AMRAP</v>
      </c>
      <c r="H125" s="105"/>
      <c r="I125" s="103"/>
      <c r="J125" s="103"/>
      <c r="K125" s="103"/>
      <c r="L125" s="107"/>
    </row>
    <row r="126">
      <c r="B126" s="127"/>
      <c r="C126" s="111" t="str">
        <f>iferror(vlookup(LEFT(C122,LEN(C122)-2)&amp;"*",ExcerciseLookup,3,FALSE),"")</f>
        <v>Video Tutorial</v>
      </c>
      <c r="D126" s="112"/>
      <c r="E126" s="128">
        <v>5.0</v>
      </c>
      <c r="F126" s="129">
        <v>5.0</v>
      </c>
      <c r="G126" s="130" t="str">
        <f t="shared" si="10"/>
        <v>AMRAP</v>
      </c>
      <c r="H126" s="131"/>
      <c r="I126" s="129"/>
      <c r="J126" s="129"/>
      <c r="K126" s="129"/>
      <c r="L126" s="132"/>
    </row>
    <row r="127" ht="13.5" customHeight="1">
      <c r="B127" s="20" t="s">
        <v>357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80"/>
    </row>
    <row r="128" ht="13.5" customHeight="1">
      <c r="B128" s="22"/>
      <c r="C128" s="23"/>
      <c r="D128" s="23"/>
      <c r="E128" s="23"/>
      <c r="F128" s="23"/>
      <c r="G128" s="23"/>
      <c r="H128" s="23"/>
      <c r="I128" s="23"/>
      <c r="J128" s="23"/>
      <c r="K128" s="23"/>
      <c r="L128" s="81"/>
    </row>
    <row r="129">
      <c r="B129" s="82"/>
      <c r="C129" s="83" t="s">
        <v>31</v>
      </c>
      <c r="D129" s="84"/>
      <c r="E129" s="85" t="s">
        <v>32</v>
      </c>
      <c r="F129" s="86" t="s">
        <v>33</v>
      </c>
      <c r="G129" s="87" t="s">
        <v>34</v>
      </c>
      <c r="H129" s="88" t="s">
        <v>35</v>
      </c>
      <c r="I129" s="88" t="s">
        <v>36</v>
      </c>
      <c r="J129" s="88" t="s">
        <v>37</v>
      </c>
      <c r="K129" s="88" t="s">
        <v>38</v>
      </c>
      <c r="L129" s="89" t="s">
        <v>39</v>
      </c>
    </row>
    <row r="130">
      <c r="B130" s="90"/>
      <c r="C130" s="91" t="s">
        <v>358</v>
      </c>
      <c r="D130" s="92"/>
      <c r="E130" s="93">
        <v>1.0</v>
      </c>
      <c r="F130" s="94">
        <v>2.0</v>
      </c>
      <c r="G130" s="95" t="str">
        <f t="shared" ref="G130:G134" si="11">IF(C$130="Barbell Overhead Press",8,"10/Side")</f>
        <v>10/Side</v>
      </c>
      <c r="H130" s="96"/>
      <c r="I130" s="94"/>
      <c r="J130" s="94"/>
      <c r="K130" s="97"/>
      <c r="L130" s="98"/>
    </row>
    <row r="131">
      <c r="B131" s="99"/>
      <c r="C131" s="100" t="s">
        <v>359</v>
      </c>
      <c r="D131" s="101"/>
      <c r="E131" s="102">
        <v>2.0</v>
      </c>
      <c r="F131" s="103">
        <v>3.0</v>
      </c>
      <c r="G131" s="104" t="str">
        <f t="shared" si="11"/>
        <v>10/Side</v>
      </c>
      <c r="H131" s="105"/>
      <c r="I131" s="103"/>
      <c r="J131" s="103"/>
      <c r="K131" s="106"/>
      <c r="L131" s="107"/>
    </row>
    <row r="132">
      <c r="B132" s="99"/>
      <c r="C132" s="100" t="s">
        <v>360</v>
      </c>
      <c r="D132" s="101"/>
      <c r="E132" s="102">
        <v>3.0</v>
      </c>
      <c r="F132" s="103">
        <v>3.0</v>
      </c>
      <c r="G132" s="104" t="str">
        <f t="shared" si="11"/>
        <v>10/Side</v>
      </c>
      <c r="H132" s="105"/>
      <c r="I132" s="103"/>
      <c r="J132" s="103"/>
      <c r="K132" s="103"/>
      <c r="L132" s="107"/>
    </row>
    <row r="133">
      <c r="B133" s="108"/>
      <c r="C133" s="109"/>
      <c r="D133" s="101"/>
      <c r="E133" s="102">
        <v>4.0</v>
      </c>
      <c r="F133" s="103">
        <v>3.0</v>
      </c>
      <c r="G133" s="104" t="str">
        <f t="shared" si="11"/>
        <v>10/Side</v>
      </c>
      <c r="H133" s="105"/>
      <c r="I133" s="103"/>
      <c r="J133" s="103"/>
      <c r="K133" s="103"/>
      <c r="L133" s="107"/>
    </row>
    <row r="134">
      <c r="B134" s="127"/>
      <c r="C134" s="111" t="str">
        <f>iferror(vlookup(LEFT(C130,LEN(C130)-2)&amp;"*",ExcerciseLookup,3,FALSE),"")</f>
        <v>Video Tutorial</v>
      </c>
      <c r="D134" s="112"/>
      <c r="E134" s="128">
        <v>5.0</v>
      </c>
      <c r="F134" s="129">
        <v>3.0</v>
      </c>
      <c r="G134" s="130" t="str">
        <f t="shared" si="11"/>
        <v>10/Side</v>
      </c>
      <c r="H134" s="131"/>
      <c r="I134" s="129"/>
      <c r="J134" s="129"/>
      <c r="K134" s="129"/>
      <c r="L134" s="132"/>
    </row>
    <row r="135">
      <c r="B135" s="118"/>
      <c r="C135" s="119" t="s">
        <v>19</v>
      </c>
      <c r="D135" s="120"/>
      <c r="E135" s="121">
        <v>1.0</v>
      </c>
      <c r="F135" s="122">
        <v>2.0</v>
      </c>
      <c r="G135" s="123">
        <v>10.0</v>
      </c>
      <c r="H135" s="124"/>
      <c r="I135" s="122"/>
      <c r="J135" s="122"/>
      <c r="K135" s="125"/>
      <c r="L135" s="126"/>
    </row>
    <row r="136">
      <c r="B136" s="99"/>
      <c r="C136" s="100" t="s">
        <v>361</v>
      </c>
      <c r="D136" s="101"/>
      <c r="E136" s="102">
        <v>2.0</v>
      </c>
      <c r="F136" s="103">
        <v>3.0</v>
      </c>
      <c r="G136" s="104">
        <v>10.0</v>
      </c>
      <c r="H136" s="105"/>
      <c r="I136" s="103"/>
      <c r="J136" s="103"/>
      <c r="K136" s="103"/>
      <c r="L136" s="107"/>
    </row>
    <row r="137">
      <c r="B137" s="99"/>
      <c r="C137" s="100" t="s">
        <v>362</v>
      </c>
      <c r="D137" s="101"/>
      <c r="E137" s="102">
        <v>3.0</v>
      </c>
      <c r="F137" s="103">
        <v>3.0</v>
      </c>
      <c r="G137" s="104">
        <v>10.0</v>
      </c>
      <c r="H137" s="105"/>
      <c r="I137" s="103"/>
      <c r="J137" s="103"/>
      <c r="K137" s="103"/>
      <c r="L137" s="107"/>
    </row>
    <row r="138">
      <c r="B138" s="108"/>
      <c r="C138" s="100"/>
      <c r="D138" s="101"/>
      <c r="E138" s="102">
        <v>4.0</v>
      </c>
      <c r="F138" s="103">
        <v>3.0</v>
      </c>
      <c r="G138" s="104">
        <v>10.0</v>
      </c>
      <c r="H138" s="105"/>
      <c r="I138" s="103"/>
      <c r="J138" s="103"/>
      <c r="K138" s="103"/>
      <c r="L138" s="107"/>
    </row>
    <row r="139">
      <c r="B139" s="127"/>
      <c r="C139" s="111" t="str">
        <f>iferror(vlookup(LEFT(C135,LEN(C135)-2)&amp;"*",ExcerciseLookup,3,FALSE),"")</f>
        <v>Video Tutorial</v>
      </c>
      <c r="D139" s="112"/>
      <c r="E139" s="128">
        <v>5.0</v>
      </c>
      <c r="F139" s="129">
        <v>3.0</v>
      </c>
      <c r="G139" s="130">
        <v>10.0</v>
      </c>
      <c r="H139" s="131"/>
      <c r="I139" s="129"/>
      <c r="J139" s="129"/>
      <c r="K139" s="129"/>
      <c r="L139" s="132"/>
    </row>
    <row r="140" ht="13.5" customHeight="1">
      <c r="B140" s="20" t="s">
        <v>363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80"/>
    </row>
    <row r="141" ht="13.5" customHeight="1"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81"/>
    </row>
    <row r="142">
      <c r="B142" s="82"/>
      <c r="C142" s="83" t="s">
        <v>31</v>
      </c>
      <c r="D142" s="84"/>
      <c r="E142" s="85" t="s">
        <v>32</v>
      </c>
      <c r="F142" s="86" t="s">
        <v>33</v>
      </c>
      <c r="G142" s="87" t="s">
        <v>34</v>
      </c>
      <c r="H142" s="88" t="s">
        <v>35</v>
      </c>
      <c r="I142" s="88" t="s">
        <v>36</v>
      </c>
      <c r="J142" s="88" t="s">
        <v>37</v>
      </c>
      <c r="K142" s="88" t="s">
        <v>38</v>
      </c>
      <c r="L142" s="89" t="s">
        <v>39</v>
      </c>
    </row>
    <row r="143">
      <c r="B143" s="90"/>
      <c r="C143" s="91" t="s">
        <v>285</v>
      </c>
      <c r="D143" s="92"/>
      <c r="E143" s="93">
        <v>1.0</v>
      </c>
      <c r="F143" s="94">
        <v>2.0</v>
      </c>
      <c r="G143" s="95">
        <v>12.0</v>
      </c>
      <c r="H143" s="96"/>
      <c r="I143" s="94"/>
      <c r="J143" s="94"/>
      <c r="K143" s="97"/>
      <c r="L143" s="98"/>
    </row>
    <row r="144">
      <c r="B144" s="99"/>
      <c r="C144" s="100" t="s">
        <v>364</v>
      </c>
      <c r="D144" s="101"/>
      <c r="E144" s="102">
        <v>2.0</v>
      </c>
      <c r="F144" s="103">
        <v>3.0</v>
      </c>
      <c r="G144" s="104">
        <v>12.0</v>
      </c>
      <c r="H144" s="105"/>
      <c r="I144" s="103"/>
      <c r="J144" s="103"/>
      <c r="K144" s="106"/>
      <c r="L144" s="107"/>
    </row>
    <row r="145">
      <c r="B145" s="99"/>
      <c r="C145" s="100" t="s">
        <v>365</v>
      </c>
      <c r="D145" s="101"/>
      <c r="E145" s="102">
        <v>3.0</v>
      </c>
      <c r="F145" s="103">
        <v>3.0</v>
      </c>
      <c r="G145" s="104">
        <v>12.0</v>
      </c>
      <c r="H145" s="105"/>
      <c r="I145" s="103"/>
      <c r="J145" s="103"/>
      <c r="K145" s="103"/>
      <c r="L145" s="107"/>
    </row>
    <row r="146">
      <c r="B146" s="108"/>
      <c r="C146" s="109"/>
      <c r="D146" s="101"/>
      <c r="E146" s="102">
        <v>4.0</v>
      </c>
      <c r="F146" s="103">
        <v>3.0</v>
      </c>
      <c r="G146" s="104">
        <v>12.0</v>
      </c>
      <c r="H146" s="105"/>
      <c r="I146" s="103"/>
      <c r="J146" s="103"/>
      <c r="K146" s="103"/>
      <c r="L146" s="107"/>
    </row>
    <row r="147">
      <c r="B147" s="127"/>
      <c r="C147" s="111" t="str">
        <f>iferror(vlookup(LEFT(C143,LEN(C143)-2)&amp;"*",ExcerciseLookup,3,FALSE),"")</f>
        <v>Video Tutorial</v>
      </c>
      <c r="D147" s="112"/>
      <c r="E147" s="128">
        <v>5.0</v>
      </c>
      <c r="F147" s="129">
        <v>3.0</v>
      </c>
      <c r="G147" s="130">
        <v>12.0</v>
      </c>
      <c r="H147" s="131"/>
      <c r="I147" s="129"/>
      <c r="J147" s="129"/>
      <c r="K147" s="129"/>
      <c r="L147" s="132"/>
    </row>
    <row r="148">
      <c r="B148" s="118"/>
      <c r="C148" s="119" t="s">
        <v>366</v>
      </c>
      <c r="D148" s="120"/>
      <c r="E148" s="121">
        <v>1.0</v>
      </c>
      <c r="F148" s="122">
        <v>3.0</v>
      </c>
      <c r="G148" s="123">
        <v>12.0</v>
      </c>
      <c r="H148" s="124"/>
      <c r="I148" s="122"/>
      <c r="J148" s="122"/>
      <c r="K148" s="125"/>
      <c r="L148" s="126"/>
    </row>
    <row r="149">
      <c r="B149" s="99"/>
      <c r="C149" s="100" t="s">
        <v>367</v>
      </c>
      <c r="D149" s="101"/>
      <c r="E149" s="102">
        <v>2.0</v>
      </c>
      <c r="F149" s="103">
        <v>3.0</v>
      </c>
      <c r="G149" s="104">
        <v>12.0</v>
      </c>
      <c r="H149" s="105"/>
      <c r="I149" s="103"/>
      <c r="J149" s="103"/>
      <c r="K149" s="103"/>
      <c r="L149" s="107"/>
    </row>
    <row r="150">
      <c r="B150" s="99"/>
      <c r="C150" s="100" t="s">
        <v>368</v>
      </c>
      <c r="D150" s="101"/>
      <c r="E150" s="102">
        <v>3.0</v>
      </c>
      <c r="F150" s="103">
        <v>3.0</v>
      </c>
      <c r="G150" s="104">
        <v>12.0</v>
      </c>
      <c r="H150" s="105"/>
      <c r="I150" s="103"/>
      <c r="J150" s="103"/>
      <c r="K150" s="103"/>
      <c r="L150" s="107"/>
    </row>
    <row r="151">
      <c r="B151" s="108"/>
      <c r="C151" s="100" t="s">
        <v>369</v>
      </c>
      <c r="D151" s="101"/>
      <c r="E151" s="102">
        <v>4.0</v>
      </c>
      <c r="F151" s="103">
        <v>3.0</v>
      </c>
      <c r="G151" s="104">
        <v>12.0</v>
      </c>
      <c r="H151" s="105"/>
      <c r="I151" s="103"/>
      <c r="J151" s="103"/>
      <c r="K151" s="103"/>
      <c r="L151" s="107"/>
    </row>
    <row r="152">
      <c r="B152" s="127"/>
      <c r="C152" s="111" t="str">
        <f>iferror(vlookup(LEFT(C148,LEN(C148)-2)&amp;"*",ExcerciseLookup,3,FALSE),"")</f>
        <v>Video Tutorial</v>
      </c>
      <c r="D152" s="112"/>
      <c r="E152" s="128">
        <v>5.0</v>
      </c>
      <c r="F152" s="129">
        <v>3.0</v>
      </c>
      <c r="G152" s="130">
        <v>12.0</v>
      </c>
      <c r="H152" s="131"/>
      <c r="I152" s="129"/>
      <c r="J152" s="129"/>
      <c r="K152" s="129"/>
      <c r="L152" s="132"/>
    </row>
    <row r="153" ht="13.5" customHeight="1">
      <c r="B153" s="20" t="s">
        <v>370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80"/>
    </row>
    <row r="154" ht="13.5" customHeight="1">
      <c r="B154" s="22"/>
      <c r="C154" s="23"/>
      <c r="D154" s="23"/>
      <c r="E154" s="23"/>
      <c r="F154" s="23"/>
      <c r="G154" s="23"/>
      <c r="H154" s="23"/>
      <c r="I154" s="23"/>
      <c r="J154" s="23"/>
      <c r="K154" s="23"/>
      <c r="L154" s="81"/>
    </row>
    <row r="155">
      <c r="B155" s="82"/>
      <c r="C155" s="83" t="s">
        <v>31</v>
      </c>
      <c r="D155" s="84"/>
      <c r="E155" s="85" t="s">
        <v>32</v>
      </c>
      <c r="F155" s="86" t="s">
        <v>33</v>
      </c>
      <c r="G155" s="87" t="s">
        <v>34</v>
      </c>
      <c r="H155" s="88" t="s">
        <v>35</v>
      </c>
      <c r="I155" s="88" t="s">
        <v>36</v>
      </c>
      <c r="J155" s="88" t="s">
        <v>37</v>
      </c>
      <c r="K155" s="88" t="s">
        <v>38</v>
      </c>
      <c r="L155" s="89" t="s">
        <v>39</v>
      </c>
    </row>
    <row r="156">
      <c r="B156" s="90"/>
      <c r="C156" s="91" t="s">
        <v>93</v>
      </c>
      <c r="D156" s="92"/>
      <c r="E156" s="93">
        <v>1.0</v>
      </c>
      <c r="F156" s="94">
        <v>2.0</v>
      </c>
      <c r="G156" s="95">
        <v>18.0</v>
      </c>
      <c r="H156" s="96"/>
      <c r="I156" s="94"/>
      <c r="J156" s="94"/>
      <c r="K156" s="97"/>
      <c r="L156" s="98"/>
    </row>
    <row r="157">
      <c r="B157" s="99"/>
      <c r="C157" s="100" t="s">
        <v>371</v>
      </c>
      <c r="D157" s="101"/>
      <c r="E157" s="102">
        <v>2.0</v>
      </c>
      <c r="F157" s="103">
        <v>3.0</v>
      </c>
      <c r="G157" s="104">
        <v>18.0</v>
      </c>
      <c r="H157" s="105"/>
      <c r="I157" s="103"/>
      <c r="J157" s="103"/>
      <c r="K157" s="106"/>
      <c r="L157" s="107"/>
    </row>
    <row r="158">
      <c r="B158" s="99"/>
      <c r="C158" s="100" t="s">
        <v>372</v>
      </c>
      <c r="D158" s="101"/>
      <c r="E158" s="102">
        <v>3.0</v>
      </c>
      <c r="F158" s="103">
        <v>4.0</v>
      </c>
      <c r="G158" s="104">
        <v>18.0</v>
      </c>
      <c r="H158" s="105"/>
      <c r="I158" s="103"/>
      <c r="J158" s="103"/>
      <c r="K158" s="103"/>
      <c r="L158" s="107"/>
    </row>
    <row r="159">
      <c r="B159" s="108"/>
      <c r="C159" s="109"/>
      <c r="D159" s="101"/>
      <c r="E159" s="102">
        <v>4.0</v>
      </c>
      <c r="F159" s="103">
        <v>4.0</v>
      </c>
      <c r="G159" s="104">
        <v>18.0</v>
      </c>
      <c r="H159" s="105"/>
      <c r="I159" s="103"/>
      <c r="J159" s="103"/>
      <c r="K159" s="103"/>
      <c r="L159" s="107"/>
    </row>
    <row r="160">
      <c r="B160" s="127"/>
      <c r="C160" s="111" t="str">
        <f>iferror(vlookup(LEFT(C156,LEN(C156)-2)&amp;"*",ExcerciseLookup,3,FALSE),"")</f>
        <v>Video Tutorial</v>
      </c>
      <c r="D160" s="112"/>
      <c r="E160" s="128">
        <v>5.0</v>
      </c>
      <c r="F160" s="129">
        <v>4.0</v>
      </c>
      <c r="G160" s="130">
        <v>18.0</v>
      </c>
      <c r="H160" s="131"/>
      <c r="I160" s="129"/>
      <c r="J160" s="129"/>
      <c r="K160" s="129"/>
      <c r="L160" s="132"/>
    </row>
    <row r="161"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</row>
    <row r="162"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</row>
    <row r="163"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</row>
  </sheetData>
  <mergeCells count="132">
    <mergeCell ref="C3:E4"/>
    <mergeCell ref="B6:L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L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2:L33"/>
    <mergeCell ref="C34:D34"/>
    <mergeCell ref="C35:D35"/>
    <mergeCell ref="C43:D43"/>
    <mergeCell ref="C44:D44"/>
    <mergeCell ref="B45:L46"/>
    <mergeCell ref="C36:D36"/>
    <mergeCell ref="C37:D37"/>
    <mergeCell ref="C38:D38"/>
    <mergeCell ref="C39:D39"/>
    <mergeCell ref="C40:D40"/>
    <mergeCell ref="C41:D41"/>
    <mergeCell ref="C42:D42"/>
    <mergeCell ref="C47:D47"/>
    <mergeCell ref="C48:D48"/>
    <mergeCell ref="C49:D49"/>
    <mergeCell ref="C50:D50"/>
    <mergeCell ref="C51:D51"/>
    <mergeCell ref="C52:D52"/>
    <mergeCell ref="C57:E58"/>
    <mergeCell ref="B114:L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B127:L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B140:L141"/>
    <mergeCell ref="C142:D142"/>
    <mergeCell ref="C143:D143"/>
    <mergeCell ref="C144:D144"/>
    <mergeCell ref="C152:D152"/>
    <mergeCell ref="B153:L154"/>
    <mergeCell ref="C155:D155"/>
    <mergeCell ref="C156:D156"/>
    <mergeCell ref="C157:D157"/>
    <mergeCell ref="C158:D158"/>
    <mergeCell ref="C159:D159"/>
    <mergeCell ref="C160:D160"/>
    <mergeCell ref="C145:D145"/>
    <mergeCell ref="C146:D146"/>
    <mergeCell ref="C147:D147"/>
    <mergeCell ref="C148:D148"/>
    <mergeCell ref="C149:D149"/>
    <mergeCell ref="C150:D150"/>
    <mergeCell ref="C151:D151"/>
    <mergeCell ref="B60:L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B73:L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B86:L87"/>
    <mergeCell ref="C88:D88"/>
    <mergeCell ref="C89:D89"/>
    <mergeCell ref="C90:D90"/>
    <mergeCell ref="C98:D98"/>
    <mergeCell ref="B99:L100"/>
    <mergeCell ref="C91:D91"/>
    <mergeCell ref="C92:D92"/>
    <mergeCell ref="C93:D93"/>
    <mergeCell ref="C94:D94"/>
    <mergeCell ref="C95:D95"/>
    <mergeCell ref="C96:D96"/>
    <mergeCell ref="C97:D97"/>
    <mergeCell ref="C101:D101"/>
    <mergeCell ref="C102:D102"/>
    <mergeCell ref="C103:D103"/>
    <mergeCell ref="C104:D104"/>
    <mergeCell ref="C105:D105"/>
    <mergeCell ref="C106:D106"/>
    <mergeCell ref="C111:E112"/>
  </mergeCells>
  <conditionalFormatting sqref="H9:L18 H22:L31 H35:L44 H48:L52 H63:L72 H76:L85 H89:L98 H102:L106 H117:L126 H130:L139 H143:L152 H156:L160">
    <cfRule type="expression" dxfId="1" priority="1">
      <formula>if(right(H$8,1)*1&gt;$F9*1,true)</formula>
    </cfRule>
  </conditionalFormatting>
  <conditionalFormatting sqref="I4 I58 I112">
    <cfRule type="containsText" dxfId="2" priority="2" operator="containsText" text="INPUT HERE">
      <formula>NOT(ISERROR(SEARCH(("INPUT HERE"),(I4))))</formula>
    </cfRule>
  </conditionalFormatting>
  <conditionalFormatting sqref="G9:G13 F10:F13 F15:F18 G18 G22:G26 F23:F26 F28:F31 G31 G35:G39 F36:F44 G44 F48:G52 G63:G67 F64:F72 G72 F76:F85 G76:G80 G85 F88:F98 G89:G95 G98 F101:F106 G102:G106 G117:G121 F118:F126 G126 F130:F139 G130:G134 G139 F142:F152 E143:E147 G143:G149 G151:G152 F155:G160 E156:E160">
    <cfRule type="cellIs" dxfId="0" priority="3" operator="equal">
      <formula>"Pending"</formula>
    </cfRule>
  </conditionalFormatting>
  <dataValidations>
    <dataValidation type="list" allowBlank="1" sqref="C9">
      <formula1>"Barbell Deadlift,1-Leg Dumbbell Romanian Deadlift"</formula1>
    </dataValidation>
    <dataValidation type="list" allowBlank="1" sqref="C22">
      <formula1>"Underhand Lat Pulldowns,Dumbbell Pullovers,Barbell Pullovers"</formula1>
    </dataValidation>
    <dataValidation type="list" allowBlank="1" sqref="C122">
      <formula1>"Chin-Ups,Weighted Chin-Ups,Dumbbell Rows,Barbell Rows,T-Bar Machine Rows"</formula1>
    </dataValidation>
    <dataValidation type="list" allowBlank="1" sqref="C143">
      <formula1>"Dumbbell Pullover,Barbell Pullover,Lat Pulldown"</formula1>
    </dataValidation>
    <dataValidation type="list" allowBlank="1" sqref="C63">
      <formula1>"Barbell Back Squat,Barbell Front Squat,Double-Dumbbell Front Squat"</formula1>
    </dataValidation>
    <dataValidation type="list" allowBlank="1" sqref="C89">
      <formula1>"Cable Triceps Pushdowns,Dumbbell Skull Crushers,Barbell Skull Crushers,Overhead Triceps Extensions,"</formula1>
    </dataValidation>
    <dataValidation type="list" allowBlank="1" sqref="C27">
      <formula1>"Close-Grip Push-Ups,Deficit Push-Ups"</formula1>
    </dataValidation>
    <dataValidation type="list" allowBlank="1" sqref="C117">
      <formula1>"Barbell Bench Press,Dumbbell Bench Press"</formula1>
    </dataValidation>
    <dataValidation type="list" allowBlank="1" sqref="C14">
      <formula1>"Half-Kneeling Dumbbell Press,1-Arm Landmine Press,Barbell Overhead Press"</formula1>
    </dataValidation>
    <dataValidation type="list" allowBlank="1" sqref="C40">
      <formula1>"Cross-Body Carry,Side Planks,Weighted Side Planks"</formula1>
    </dataValidation>
    <dataValidation type="list" allowBlank="1" sqref="C81">
      <formula1>"Underhand Cable Seated Row,Neutral-Grip Cable Seated Row,Bent-Over Dumbbell Row,Underhand Barbell Row,T-Bar Machine Row"</formula1>
    </dataValidation>
    <dataValidation type="list" allowBlank="1" sqref="C130">
      <formula1>"Standing Landmine Press,1-Arm Dumbbell Overhead Press,Barbell Overhead Press"</formula1>
    </dataValidation>
    <dataValidation type="list" allowBlank="1" sqref="C135">
      <formula1>"Goblet Squat,Leg Press,Double-Dumbbell Front Squat,Barbell Front Squat,Barbell Back Squat"</formula1>
    </dataValidation>
    <dataValidation type="list" allowBlank="1" sqref="C94">
      <formula1>"Cable Rope Curls,Dumbbell Hammer Curls,Barbell Curls,"</formula1>
    </dataValidation>
    <dataValidation type="list" allowBlank="1" sqref="C102">
      <formula1>"Kettlebell Swings,Dumbbell Swings,Romanian Deadlifts,Bodyweight Hip Thrusts,"</formula1>
    </dataValidation>
    <dataValidation type="list" allowBlank="1" sqref="C35">
      <formula1>"Ab Wheel Rollouts,Hand Walkouts,Hanging Knee Raises"</formula1>
    </dataValidation>
    <dataValidation type="list" allowBlank="1" sqref="C48">
      <formula1>"Swiss Ball Leg Curls,Machine Leg Curls,Nordic Ham Curls,Bodyweight Hip Thrusts"</formula1>
    </dataValidation>
    <dataValidation type="list" allowBlank="1" sqref="C68">
      <formula1>"1-Arm Dumbbell Row,Chin-Ups,"</formula1>
    </dataValidation>
    <dataValidation type="list" allowBlank="1" sqref="C76">
      <formula1>"Push-Ups,Weighted Push-Ups,Deficit Push-Ups"</formula1>
    </dataValidation>
    <dataValidation type="list" allowBlank="1" sqref="C148">
      <formula1>"Standing External Rotation,Side-Lying External Rotation,Reverse Fly,"</formula1>
    </dataValidation>
  </dataValidations>
  <hyperlinks>
    <hyperlink r:id="rId1" ref="K3"/>
    <hyperlink r:id="rId2" ref="K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050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40.75"/>
    <col customWidth="1" min="4" max="5" width="12.63"/>
    <col customWidth="1" min="6" max="10" width="9.5"/>
  </cols>
  <sheetData>
    <row r="1" ht="15.75" customHeight="1">
      <c r="F1" s="138"/>
      <c r="G1" s="139"/>
      <c r="H1" s="138"/>
      <c r="I1" s="138"/>
    </row>
    <row r="2" ht="15.75" customHeight="1">
      <c r="A2" s="140"/>
      <c r="B2" s="141"/>
      <c r="C2" s="142"/>
      <c r="D2" s="142"/>
      <c r="E2" s="142"/>
      <c r="F2" s="142"/>
      <c r="G2" s="143"/>
      <c r="H2" s="144"/>
      <c r="I2" s="145"/>
      <c r="J2" s="140"/>
    </row>
    <row r="3" ht="15.0" customHeight="1">
      <c r="A3" s="140"/>
      <c r="B3" s="146"/>
      <c r="C3" s="8"/>
      <c r="D3" s="147" t="s">
        <v>373</v>
      </c>
      <c r="E3" s="148"/>
      <c r="F3" s="149" t="s">
        <v>374</v>
      </c>
      <c r="G3" s="150" t="s">
        <v>375</v>
      </c>
      <c r="H3" s="151"/>
      <c r="I3" s="152"/>
      <c r="J3" s="140"/>
    </row>
    <row r="4" ht="15.0" customHeight="1">
      <c r="A4" s="140"/>
      <c r="B4" s="146"/>
      <c r="D4" s="153" t="s">
        <v>376</v>
      </c>
      <c r="E4" s="148"/>
      <c r="F4" s="73" t="s">
        <v>377</v>
      </c>
      <c r="G4" s="74" t="s">
        <v>378</v>
      </c>
      <c r="H4" s="151"/>
      <c r="I4" s="152"/>
      <c r="J4" s="140"/>
    </row>
    <row r="5">
      <c r="A5" s="140"/>
      <c r="B5" s="154"/>
      <c r="C5" s="155"/>
      <c r="D5" s="155"/>
      <c r="E5" s="155"/>
      <c r="F5" s="155"/>
      <c r="G5" s="156"/>
      <c r="H5" s="157"/>
      <c r="I5" s="158"/>
      <c r="J5" s="140"/>
    </row>
    <row r="6" ht="27.0" customHeight="1">
      <c r="B6" s="159"/>
      <c r="C6" s="160"/>
      <c r="D6" s="161" t="s">
        <v>379</v>
      </c>
      <c r="E6" s="162"/>
      <c r="F6" s="163" t="s">
        <v>380</v>
      </c>
      <c r="G6" s="84"/>
      <c r="H6" s="84"/>
      <c r="I6" s="162"/>
    </row>
    <row r="7" ht="16.5" customHeight="1">
      <c r="B7" s="164"/>
      <c r="C7" s="165"/>
      <c r="D7" s="166" t="s">
        <v>28</v>
      </c>
      <c r="E7" s="167" t="s">
        <v>381</v>
      </c>
      <c r="F7" s="168"/>
      <c r="G7" s="84"/>
      <c r="H7" s="84"/>
      <c r="I7" s="84"/>
    </row>
    <row r="8" ht="16.5" customHeight="1">
      <c r="A8" s="169"/>
      <c r="B8" s="170"/>
      <c r="C8" s="171" t="s">
        <v>382</v>
      </c>
      <c r="D8" s="172"/>
      <c r="E8" s="172"/>
      <c r="F8" s="173" t="str">
        <f>IF(ISBLANK(D8),"waiting", IF(ISNUMBER(D8), IF(G4="cautious", "Lean and steady. You got this.", IF(G4="Temperate", "Good luck! You got this.", "Time to kill it. You got this!")), "Use a number"))</f>
        <v>waiting</v>
      </c>
      <c r="G8" s="174"/>
      <c r="H8" s="174"/>
      <c r="I8" s="175"/>
      <c r="J8" s="169"/>
    </row>
    <row r="9" ht="16.5" customHeight="1">
      <c r="A9" s="169"/>
      <c r="B9" s="176"/>
      <c r="C9" s="177" t="s">
        <v>383</v>
      </c>
      <c r="D9" s="103"/>
      <c r="E9" s="178" t="str">
        <f t="shared" ref="E9:E59" si="1">IF(ISNUMBER(D9),D9-D8,"waiting")</f>
        <v>waiting</v>
      </c>
      <c r="F9" s="179" t="str">
        <f>IF(ISNUMBER(E9), IF(E9&gt;=J$4*3, "Stop eating weight plates", IF(E9&gt;=J$4, "Strong Start", "Add 200 calories")), "waiting")</f>
        <v>waiting</v>
      </c>
      <c r="G9" s="180"/>
      <c r="H9" s="180"/>
      <c r="I9" s="181"/>
      <c r="J9" s="169"/>
    </row>
    <row r="10" ht="16.5" customHeight="1">
      <c r="A10" s="169"/>
      <c r="B10" s="182"/>
      <c r="C10" s="183" t="s">
        <v>384</v>
      </c>
      <c r="D10" s="184"/>
      <c r="E10" s="185" t="str">
        <f t="shared" si="1"/>
        <v>waiting</v>
      </c>
      <c r="F10" s="186" t="str">
        <f>IF(ISNUMBER(E10), IF(E10&gt;=J$4*2, "Remove 100 calories", IF(E10&gt;=J$4, "Solid", IF((E9+E10)/2&gt;=J$4, "Weather the storm", "Add 200 calories"))), "waiting")</f>
        <v>waiting</v>
      </c>
      <c r="G10" s="180"/>
      <c r="H10" s="180"/>
      <c r="I10" s="181"/>
      <c r="J10" s="169"/>
    </row>
    <row r="11" ht="16.5" customHeight="1">
      <c r="A11" s="169"/>
      <c r="B11" s="176"/>
      <c r="C11" s="177" t="s">
        <v>385</v>
      </c>
      <c r="D11" s="103"/>
      <c r="E11" s="178" t="str">
        <f t="shared" si="1"/>
        <v>waiting</v>
      </c>
      <c r="F11" s="179" t="str">
        <f t="shared" ref="F11:F59" si="2">IF(ISNUMBER(E11), IF((E10+E11)/2&gt;=J$4*2, "Remove 100 calories", IF(E11&gt;=J$4, "Solid", IF((E9+E10+E11)/3&gt;=J$4, "Weather the storm", "Add 200 calories"))), "waiting")</f>
        <v>waiting</v>
      </c>
      <c r="G11" s="180"/>
      <c r="H11" s="180"/>
      <c r="I11" s="181"/>
      <c r="J11" s="169"/>
    </row>
    <row r="12" ht="16.5" customHeight="1">
      <c r="A12" s="169"/>
      <c r="B12" s="182"/>
      <c r="C12" s="183" t="s">
        <v>386</v>
      </c>
      <c r="D12" s="184"/>
      <c r="E12" s="185" t="str">
        <f t="shared" si="1"/>
        <v>waiting</v>
      </c>
      <c r="F12" s="186" t="str">
        <f t="shared" si="2"/>
        <v>waiting</v>
      </c>
      <c r="G12" s="180"/>
      <c r="H12" s="180"/>
      <c r="I12" s="181"/>
      <c r="J12" s="169"/>
    </row>
    <row r="13" ht="16.5" customHeight="1">
      <c r="A13" s="169"/>
      <c r="B13" s="176"/>
      <c r="C13" s="177" t="s">
        <v>387</v>
      </c>
      <c r="D13" s="103"/>
      <c r="E13" s="178" t="str">
        <f t="shared" si="1"/>
        <v>waiting</v>
      </c>
      <c r="F13" s="179" t="str">
        <f t="shared" si="2"/>
        <v>waiting</v>
      </c>
      <c r="G13" s="180"/>
      <c r="H13" s="180"/>
      <c r="I13" s="181"/>
      <c r="J13" s="169"/>
    </row>
    <row r="14" ht="16.5" customHeight="1">
      <c r="A14" s="169"/>
      <c r="B14" s="182"/>
      <c r="C14" s="183" t="s">
        <v>388</v>
      </c>
      <c r="D14" s="184"/>
      <c r="E14" s="185" t="str">
        <f t="shared" si="1"/>
        <v>waiting</v>
      </c>
      <c r="F14" s="186" t="str">
        <f t="shared" si="2"/>
        <v>waiting</v>
      </c>
      <c r="G14" s="180"/>
      <c r="H14" s="180"/>
      <c r="I14" s="181"/>
      <c r="J14" s="169"/>
    </row>
    <row r="15" ht="16.5" customHeight="1">
      <c r="A15" s="169"/>
      <c r="B15" s="176"/>
      <c r="C15" s="177" t="s">
        <v>389</v>
      </c>
      <c r="D15" s="103"/>
      <c r="E15" s="178" t="str">
        <f t="shared" si="1"/>
        <v>waiting</v>
      </c>
      <c r="F15" s="179" t="str">
        <f t="shared" si="2"/>
        <v>waiting</v>
      </c>
      <c r="G15" s="180"/>
      <c r="H15" s="180"/>
      <c r="I15" s="181"/>
      <c r="J15" s="169"/>
    </row>
    <row r="16" ht="16.5" customHeight="1">
      <c r="A16" s="169"/>
      <c r="B16" s="182"/>
      <c r="C16" s="183" t="s">
        <v>390</v>
      </c>
      <c r="D16" s="184"/>
      <c r="E16" s="185" t="str">
        <f t="shared" si="1"/>
        <v>waiting</v>
      </c>
      <c r="F16" s="186" t="str">
        <f t="shared" si="2"/>
        <v>waiting</v>
      </c>
      <c r="G16" s="180"/>
      <c r="H16" s="180"/>
      <c r="I16" s="181"/>
      <c r="J16" s="169"/>
    </row>
    <row r="17" ht="16.5" customHeight="1">
      <c r="A17" s="169"/>
      <c r="B17" s="176"/>
      <c r="C17" s="187" t="s">
        <v>391</v>
      </c>
      <c r="D17" s="188"/>
      <c r="E17" s="178" t="str">
        <f t="shared" si="1"/>
        <v>waiting</v>
      </c>
      <c r="F17" s="179" t="str">
        <f t="shared" si="2"/>
        <v>waiting</v>
      </c>
      <c r="G17" s="180"/>
      <c r="H17" s="180"/>
      <c r="I17" s="181"/>
      <c r="J17" s="169"/>
    </row>
    <row r="18" ht="16.5" customHeight="1">
      <c r="A18" s="169"/>
      <c r="B18" s="182"/>
      <c r="C18" s="183" t="s">
        <v>392</v>
      </c>
      <c r="D18" s="184"/>
      <c r="E18" s="185" t="str">
        <f t="shared" si="1"/>
        <v>waiting</v>
      </c>
      <c r="F18" s="186" t="str">
        <f t="shared" si="2"/>
        <v>waiting</v>
      </c>
      <c r="G18" s="180"/>
      <c r="H18" s="180"/>
      <c r="I18" s="181"/>
      <c r="J18" s="169"/>
    </row>
    <row r="19" ht="16.5" customHeight="1">
      <c r="A19" s="169"/>
      <c r="B19" s="176"/>
      <c r="C19" s="187" t="s">
        <v>393</v>
      </c>
      <c r="D19" s="188"/>
      <c r="E19" s="178" t="str">
        <f t="shared" si="1"/>
        <v>waiting</v>
      </c>
      <c r="F19" s="179" t="str">
        <f t="shared" si="2"/>
        <v>waiting</v>
      </c>
      <c r="G19" s="180"/>
      <c r="H19" s="180"/>
      <c r="I19" s="181"/>
      <c r="J19" s="169"/>
    </row>
    <row r="20" ht="16.5" customHeight="1">
      <c r="A20" s="189"/>
      <c r="B20" s="190"/>
      <c r="C20" s="183" t="s">
        <v>394</v>
      </c>
      <c r="D20" s="191"/>
      <c r="E20" s="185" t="str">
        <f t="shared" si="1"/>
        <v>waiting</v>
      </c>
      <c r="F20" s="186" t="str">
        <f t="shared" si="2"/>
        <v>waiting</v>
      </c>
      <c r="G20" s="180"/>
      <c r="H20" s="180"/>
      <c r="I20" s="181"/>
      <c r="J20" s="189"/>
    </row>
    <row r="21" ht="16.5" customHeight="1">
      <c r="A21" s="189"/>
      <c r="B21" s="192"/>
      <c r="C21" s="177" t="s">
        <v>395</v>
      </c>
      <c r="D21" s="193"/>
      <c r="E21" s="178" t="str">
        <f t="shared" si="1"/>
        <v>waiting</v>
      </c>
      <c r="F21" s="179" t="str">
        <f t="shared" si="2"/>
        <v>waiting</v>
      </c>
      <c r="G21" s="180"/>
      <c r="H21" s="180"/>
      <c r="I21" s="181"/>
      <c r="J21" s="189"/>
    </row>
    <row r="22" ht="16.5" customHeight="1">
      <c r="A22" s="189"/>
      <c r="B22" s="190"/>
      <c r="C22" s="183" t="s">
        <v>396</v>
      </c>
      <c r="D22" s="191"/>
      <c r="E22" s="185" t="str">
        <f t="shared" si="1"/>
        <v>waiting</v>
      </c>
      <c r="F22" s="186" t="str">
        <f t="shared" si="2"/>
        <v>waiting</v>
      </c>
      <c r="G22" s="180"/>
      <c r="H22" s="180"/>
      <c r="I22" s="181"/>
      <c r="J22" s="189"/>
    </row>
    <row r="23" ht="16.5" customHeight="1">
      <c r="A23" s="189"/>
      <c r="B23" s="192"/>
      <c r="C23" s="177" t="s">
        <v>397</v>
      </c>
      <c r="D23" s="194"/>
      <c r="E23" s="178" t="str">
        <f t="shared" si="1"/>
        <v>waiting</v>
      </c>
      <c r="F23" s="179" t="str">
        <f t="shared" si="2"/>
        <v>waiting</v>
      </c>
      <c r="G23" s="180"/>
      <c r="H23" s="180"/>
      <c r="I23" s="181"/>
      <c r="J23" s="189"/>
    </row>
    <row r="24" ht="16.5" customHeight="1">
      <c r="A24" s="189"/>
      <c r="B24" s="190"/>
      <c r="C24" s="183" t="s">
        <v>398</v>
      </c>
      <c r="D24" s="191"/>
      <c r="E24" s="185" t="str">
        <f t="shared" si="1"/>
        <v>waiting</v>
      </c>
      <c r="F24" s="186" t="str">
        <f t="shared" si="2"/>
        <v>waiting</v>
      </c>
      <c r="G24" s="180"/>
      <c r="H24" s="180"/>
      <c r="I24" s="181"/>
      <c r="J24" s="189"/>
    </row>
    <row r="25" ht="16.5" customHeight="1">
      <c r="A25" s="189"/>
      <c r="B25" s="192"/>
      <c r="C25" s="177" t="s">
        <v>399</v>
      </c>
      <c r="D25" s="194"/>
      <c r="E25" s="178" t="str">
        <f t="shared" si="1"/>
        <v>waiting</v>
      </c>
      <c r="F25" s="179" t="str">
        <f t="shared" si="2"/>
        <v>waiting</v>
      </c>
      <c r="G25" s="180"/>
      <c r="H25" s="180"/>
      <c r="I25" s="181"/>
      <c r="J25" s="189"/>
    </row>
    <row r="26" ht="16.5" customHeight="1">
      <c r="A26" s="189"/>
      <c r="B26" s="190"/>
      <c r="C26" s="183" t="s">
        <v>400</v>
      </c>
      <c r="D26" s="191"/>
      <c r="E26" s="185" t="str">
        <f t="shared" si="1"/>
        <v>waiting</v>
      </c>
      <c r="F26" s="186" t="str">
        <f t="shared" si="2"/>
        <v>waiting</v>
      </c>
      <c r="G26" s="180"/>
      <c r="H26" s="180"/>
      <c r="I26" s="181"/>
      <c r="J26" s="189"/>
    </row>
    <row r="27" ht="16.5" customHeight="1">
      <c r="A27" s="189"/>
      <c r="B27" s="192"/>
      <c r="C27" s="187" t="s">
        <v>401</v>
      </c>
      <c r="D27" s="194"/>
      <c r="E27" s="178" t="str">
        <f t="shared" si="1"/>
        <v>waiting</v>
      </c>
      <c r="F27" s="179" t="str">
        <f t="shared" si="2"/>
        <v>waiting</v>
      </c>
      <c r="G27" s="180"/>
      <c r="H27" s="180"/>
      <c r="I27" s="181"/>
      <c r="J27" s="189"/>
    </row>
    <row r="28" ht="16.5" customHeight="1">
      <c r="A28" s="189"/>
      <c r="B28" s="190"/>
      <c r="C28" s="183" t="s">
        <v>402</v>
      </c>
      <c r="D28" s="191"/>
      <c r="E28" s="185" t="str">
        <f t="shared" si="1"/>
        <v>waiting</v>
      </c>
      <c r="F28" s="186" t="str">
        <f t="shared" si="2"/>
        <v>waiting</v>
      </c>
      <c r="G28" s="180"/>
      <c r="H28" s="180"/>
      <c r="I28" s="181"/>
      <c r="J28" s="189"/>
    </row>
    <row r="29" ht="16.5" customHeight="1">
      <c r="A29" s="189"/>
      <c r="B29" s="192"/>
      <c r="C29" s="187" t="s">
        <v>403</v>
      </c>
      <c r="D29" s="194"/>
      <c r="E29" s="178" t="str">
        <f t="shared" si="1"/>
        <v>waiting</v>
      </c>
      <c r="F29" s="179" t="str">
        <f t="shared" si="2"/>
        <v>waiting</v>
      </c>
      <c r="G29" s="180"/>
      <c r="H29" s="180"/>
      <c r="I29" s="181"/>
      <c r="J29" s="189"/>
    </row>
    <row r="30" ht="16.5" customHeight="1">
      <c r="A30" s="189"/>
      <c r="B30" s="190"/>
      <c r="C30" s="183" t="s">
        <v>404</v>
      </c>
      <c r="D30" s="191"/>
      <c r="E30" s="185" t="str">
        <f t="shared" si="1"/>
        <v>waiting</v>
      </c>
      <c r="F30" s="186" t="str">
        <f t="shared" si="2"/>
        <v>waiting</v>
      </c>
      <c r="G30" s="180"/>
      <c r="H30" s="180"/>
      <c r="I30" s="181"/>
      <c r="J30" s="189"/>
    </row>
    <row r="31" ht="16.5" customHeight="1">
      <c r="A31" s="189"/>
      <c r="B31" s="192"/>
      <c r="C31" s="187" t="s">
        <v>405</v>
      </c>
      <c r="D31" s="194"/>
      <c r="E31" s="178" t="str">
        <f t="shared" si="1"/>
        <v>waiting</v>
      </c>
      <c r="F31" s="179" t="str">
        <f t="shared" si="2"/>
        <v>waiting</v>
      </c>
      <c r="G31" s="180"/>
      <c r="H31" s="180"/>
      <c r="I31" s="181"/>
      <c r="J31" s="189"/>
    </row>
    <row r="32" ht="16.5" customHeight="1">
      <c r="A32" s="169"/>
      <c r="B32" s="182"/>
      <c r="C32" s="183" t="s">
        <v>406</v>
      </c>
      <c r="D32" s="184"/>
      <c r="E32" s="185" t="str">
        <f t="shared" si="1"/>
        <v>waiting</v>
      </c>
      <c r="F32" s="186" t="str">
        <f t="shared" si="2"/>
        <v>waiting</v>
      </c>
      <c r="G32" s="180"/>
      <c r="H32" s="180"/>
      <c r="I32" s="181"/>
      <c r="J32" s="169"/>
    </row>
    <row r="33" ht="16.5" customHeight="1">
      <c r="A33" s="169"/>
      <c r="B33" s="176"/>
      <c r="C33" s="177" t="s">
        <v>407</v>
      </c>
      <c r="D33" s="103"/>
      <c r="E33" s="178" t="str">
        <f t="shared" si="1"/>
        <v>waiting</v>
      </c>
      <c r="F33" s="179" t="str">
        <f t="shared" si="2"/>
        <v>waiting</v>
      </c>
      <c r="G33" s="180"/>
      <c r="H33" s="180"/>
      <c r="I33" s="181"/>
      <c r="J33" s="169"/>
    </row>
    <row r="34" ht="16.5" customHeight="1">
      <c r="A34" s="169"/>
      <c r="B34" s="182"/>
      <c r="C34" s="183" t="s">
        <v>408</v>
      </c>
      <c r="D34" s="184"/>
      <c r="E34" s="185" t="str">
        <f t="shared" si="1"/>
        <v>waiting</v>
      </c>
      <c r="F34" s="186" t="str">
        <f t="shared" si="2"/>
        <v>waiting</v>
      </c>
      <c r="G34" s="180"/>
      <c r="H34" s="180"/>
      <c r="I34" s="181"/>
      <c r="J34" s="169"/>
    </row>
    <row r="35" ht="16.5" customHeight="1">
      <c r="A35" s="169"/>
      <c r="B35" s="176"/>
      <c r="C35" s="177" t="s">
        <v>409</v>
      </c>
      <c r="D35" s="103"/>
      <c r="E35" s="178" t="str">
        <f t="shared" si="1"/>
        <v>waiting</v>
      </c>
      <c r="F35" s="179" t="str">
        <f t="shared" si="2"/>
        <v>waiting</v>
      </c>
      <c r="G35" s="180"/>
      <c r="H35" s="180"/>
      <c r="I35" s="181"/>
      <c r="J35" s="169"/>
    </row>
    <row r="36" ht="16.5" customHeight="1">
      <c r="A36" s="169"/>
      <c r="B36" s="182"/>
      <c r="C36" s="183" t="s">
        <v>410</v>
      </c>
      <c r="D36" s="184"/>
      <c r="E36" s="185" t="str">
        <f t="shared" si="1"/>
        <v>waiting</v>
      </c>
      <c r="F36" s="186" t="str">
        <f t="shared" si="2"/>
        <v>waiting</v>
      </c>
      <c r="G36" s="180"/>
      <c r="H36" s="180"/>
      <c r="I36" s="181"/>
      <c r="J36" s="169"/>
    </row>
    <row r="37" ht="16.5" customHeight="1">
      <c r="A37" s="169"/>
      <c r="B37" s="176"/>
      <c r="C37" s="177" t="s">
        <v>411</v>
      </c>
      <c r="D37" s="103"/>
      <c r="E37" s="178" t="str">
        <f t="shared" si="1"/>
        <v>waiting</v>
      </c>
      <c r="F37" s="179" t="str">
        <f t="shared" si="2"/>
        <v>waiting</v>
      </c>
      <c r="G37" s="180"/>
      <c r="H37" s="180"/>
      <c r="I37" s="181"/>
      <c r="J37" s="169"/>
    </row>
    <row r="38" ht="16.5" customHeight="1">
      <c r="A38" s="169"/>
      <c r="B38" s="182"/>
      <c r="C38" s="183" t="s">
        <v>412</v>
      </c>
      <c r="D38" s="184"/>
      <c r="E38" s="185" t="str">
        <f t="shared" si="1"/>
        <v>waiting</v>
      </c>
      <c r="F38" s="186" t="str">
        <f t="shared" si="2"/>
        <v>waiting</v>
      </c>
      <c r="G38" s="180"/>
      <c r="H38" s="180"/>
      <c r="I38" s="181"/>
      <c r="J38" s="169"/>
    </row>
    <row r="39" ht="16.5" customHeight="1">
      <c r="A39" s="169"/>
      <c r="B39" s="176"/>
      <c r="C39" s="187" t="s">
        <v>413</v>
      </c>
      <c r="D39" s="188"/>
      <c r="E39" s="178" t="str">
        <f t="shared" si="1"/>
        <v>waiting</v>
      </c>
      <c r="F39" s="179" t="str">
        <f t="shared" si="2"/>
        <v>waiting</v>
      </c>
      <c r="G39" s="180"/>
      <c r="H39" s="180"/>
      <c r="I39" s="181"/>
      <c r="J39" s="169"/>
    </row>
    <row r="40" ht="16.5" customHeight="1">
      <c r="A40" s="189"/>
      <c r="B40" s="190"/>
      <c r="C40" s="183" t="s">
        <v>414</v>
      </c>
      <c r="D40" s="191"/>
      <c r="E40" s="185" t="str">
        <f t="shared" si="1"/>
        <v>waiting</v>
      </c>
      <c r="F40" s="186" t="str">
        <f t="shared" si="2"/>
        <v>waiting</v>
      </c>
      <c r="G40" s="180"/>
      <c r="H40" s="180"/>
      <c r="I40" s="181"/>
      <c r="J40" s="189"/>
    </row>
    <row r="41" ht="16.5" customHeight="1">
      <c r="A41" s="189"/>
      <c r="B41" s="192"/>
      <c r="C41" s="177" t="s">
        <v>415</v>
      </c>
      <c r="D41" s="193"/>
      <c r="E41" s="178" t="str">
        <f t="shared" si="1"/>
        <v>waiting</v>
      </c>
      <c r="F41" s="179" t="str">
        <f t="shared" si="2"/>
        <v>waiting</v>
      </c>
      <c r="G41" s="180"/>
      <c r="H41" s="180"/>
      <c r="I41" s="181"/>
      <c r="J41" s="189"/>
    </row>
    <row r="42" ht="16.5" customHeight="1">
      <c r="A42" s="189"/>
      <c r="B42" s="190"/>
      <c r="C42" s="183" t="s">
        <v>416</v>
      </c>
      <c r="D42" s="191"/>
      <c r="E42" s="185" t="str">
        <f t="shared" si="1"/>
        <v>waiting</v>
      </c>
      <c r="F42" s="186" t="str">
        <f t="shared" si="2"/>
        <v>waiting</v>
      </c>
      <c r="G42" s="180"/>
      <c r="H42" s="180"/>
      <c r="I42" s="181"/>
      <c r="J42" s="189"/>
    </row>
    <row r="43" ht="16.5" customHeight="1">
      <c r="A43" s="189"/>
      <c r="B43" s="192"/>
      <c r="C43" s="177" t="s">
        <v>417</v>
      </c>
      <c r="D43" s="194"/>
      <c r="E43" s="178" t="str">
        <f t="shared" si="1"/>
        <v>waiting</v>
      </c>
      <c r="F43" s="179" t="str">
        <f t="shared" si="2"/>
        <v>waiting</v>
      </c>
      <c r="G43" s="180"/>
      <c r="H43" s="180"/>
      <c r="I43" s="181"/>
      <c r="J43" s="189"/>
    </row>
    <row r="44" ht="16.5" customHeight="1">
      <c r="A44" s="189"/>
      <c r="B44" s="190"/>
      <c r="C44" s="183" t="s">
        <v>418</v>
      </c>
      <c r="D44" s="191"/>
      <c r="E44" s="185" t="str">
        <f t="shared" si="1"/>
        <v>waiting</v>
      </c>
      <c r="F44" s="186" t="str">
        <f t="shared" si="2"/>
        <v>waiting</v>
      </c>
      <c r="G44" s="180"/>
      <c r="H44" s="180"/>
      <c r="I44" s="181"/>
      <c r="J44" s="189"/>
    </row>
    <row r="45" ht="16.5" customHeight="1">
      <c r="A45" s="189"/>
      <c r="B45" s="192"/>
      <c r="C45" s="177" t="s">
        <v>419</v>
      </c>
      <c r="D45" s="194"/>
      <c r="E45" s="178" t="str">
        <f t="shared" si="1"/>
        <v>waiting</v>
      </c>
      <c r="F45" s="179" t="str">
        <f t="shared" si="2"/>
        <v>waiting</v>
      </c>
      <c r="G45" s="180"/>
      <c r="H45" s="180"/>
      <c r="I45" s="181"/>
      <c r="J45" s="189"/>
    </row>
    <row r="46" ht="16.5" customHeight="1">
      <c r="A46" s="189"/>
      <c r="B46" s="190"/>
      <c r="C46" s="183" t="s">
        <v>420</v>
      </c>
      <c r="D46" s="191"/>
      <c r="E46" s="185" t="str">
        <f t="shared" si="1"/>
        <v>waiting</v>
      </c>
      <c r="F46" s="186" t="str">
        <f t="shared" si="2"/>
        <v>waiting</v>
      </c>
      <c r="G46" s="180"/>
      <c r="H46" s="180"/>
      <c r="I46" s="181"/>
      <c r="J46" s="189"/>
    </row>
    <row r="47" ht="16.5" customHeight="1">
      <c r="A47" s="189"/>
      <c r="B47" s="192"/>
      <c r="C47" s="187" t="s">
        <v>421</v>
      </c>
      <c r="D47" s="194"/>
      <c r="E47" s="178" t="str">
        <f t="shared" si="1"/>
        <v>waiting</v>
      </c>
      <c r="F47" s="179" t="str">
        <f t="shared" si="2"/>
        <v>waiting</v>
      </c>
      <c r="G47" s="180"/>
      <c r="H47" s="180"/>
      <c r="I47" s="181"/>
      <c r="J47" s="189"/>
    </row>
    <row r="48" ht="16.5" customHeight="1">
      <c r="A48" s="189"/>
      <c r="B48" s="190"/>
      <c r="C48" s="183" t="s">
        <v>422</v>
      </c>
      <c r="D48" s="191"/>
      <c r="E48" s="185" t="str">
        <f t="shared" si="1"/>
        <v>waiting</v>
      </c>
      <c r="F48" s="186" t="str">
        <f t="shared" si="2"/>
        <v>waiting</v>
      </c>
      <c r="G48" s="180"/>
      <c r="H48" s="180"/>
      <c r="I48" s="181"/>
      <c r="J48" s="189"/>
    </row>
    <row r="49" ht="16.5" customHeight="1">
      <c r="A49" s="189"/>
      <c r="B49" s="192"/>
      <c r="C49" s="187" t="s">
        <v>423</v>
      </c>
      <c r="D49" s="194"/>
      <c r="E49" s="178" t="str">
        <f t="shared" si="1"/>
        <v>waiting</v>
      </c>
      <c r="F49" s="179" t="str">
        <f t="shared" si="2"/>
        <v>waiting</v>
      </c>
      <c r="G49" s="180"/>
      <c r="H49" s="180"/>
      <c r="I49" s="181"/>
      <c r="J49" s="189"/>
    </row>
    <row r="50" ht="16.5" customHeight="1">
      <c r="A50" s="189"/>
      <c r="B50" s="190"/>
      <c r="C50" s="183" t="s">
        <v>424</v>
      </c>
      <c r="D50" s="191"/>
      <c r="E50" s="185" t="str">
        <f t="shared" si="1"/>
        <v>waiting</v>
      </c>
      <c r="F50" s="186" t="str">
        <f t="shared" si="2"/>
        <v>waiting</v>
      </c>
      <c r="G50" s="180"/>
      <c r="H50" s="180"/>
      <c r="I50" s="181"/>
      <c r="J50" s="189"/>
    </row>
    <row r="51" ht="16.5" customHeight="1">
      <c r="A51" s="189"/>
      <c r="B51" s="192"/>
      <c r="C51" s="177" t="s">
        <v>425</v>
      </c>
      <c r="D51" s="193"/>
      <c r="E51" s="178" t="str">
        <f t="shared" si="1"/>
        <v>waiting</v>
      </c>
      <c r="F51" s="179" t="str">
        <f t="shared" si="2"/>
        <v>waiting</v>
      </c>
      <c r="G51" s="180"/>
      <c r="H51" s="180"/>
      <c r="I51" s="181"/>
      <c r="J51" s="189"/>
    </row>
    <row r="52" ht="16.5" customHeight="1">
      <c r="A52" s="189"/>
      <c r="B52" s="190"/>
      <c r="C52" s="183" t="s">
        <v>426</v>
      </c>
      <c r="D52" s="191"/>
      <c r="E52" s="185" t="str">
        <f t="shared" si="1"/>
        <v>waiting</v>
      </c>
      <c r="F52" s="186" t="str">
        <f t="shared" si="2"/>
        <v>waiting</v>
      </c>
      <c r="G52" s="180"/>
      <c r="H52" s="180"/>
      <c r="I52" s="181"/>
      <c r="J52" s="189"/>
    </row>
    <row r="53" ht="16.5" customHeight="1">
      <c r="A53" s="189"/>
      <c r="B53" s="192"/>
      <c r="C53" s="177" t="s">
        <v>427</v>
      </c>
      <c r="D53" s="193"/>
      <c r="E53" s="178" t="str">
        <f t="shared" si="1"/>
        <v>waiting</v>
      </c>
      <c r="F53" s="179" t="str">
        <f t="shared" si="2"/>
        <v>waiting</v>
      </c>
      <c r="G53" s="180"/>
      <c r="H53" s="180"/>
      <c r="I53" s="181"/>
      <c r="J53" s="189"/>
    </row>
    <row r="54" ht="16.5" customHeight="1">
      <c r="A54" s="189"/>
      <c r="B54" s="190"/>
      <c r="C54" s="183" t="s">
        <v>428</v>
      </c>
      <c r="D54" s="191"/>
      <c r="E54" s="185" t="str">
        <f t="shared" si="1"/>
        <v>waiting</v>
      </c>
      <c r="F54" s="186" t="str">
        <f t="shared" si="2"/>
        <v>waiting</v>
      </c>
      <c r="G54" s="180"/>
      <c r="H54" s="180"/>
      <c r="I54" s="181"/>
      <c r="J54" s="189"/>
    </row>
    <row r="55" ht="16.5" customHeight="1">
      <c r="A55" s="189"/>
      <c r="B55" s="192"/>
      <c r="C55" s="177" t="s">
        <v>429</v>
      </c>
      <c r="D55" s="193"/>
      <c r="E55" s="178" t="str">
        <f t="shared" si="1"/>
        <v>waiting</v>
      </c>
      <c r="F55" s="179" t="str">
        <f t="shared" si="2"/>
        <v>waiting</v>
      </c>
      <c r="G55" s="180"/>
      <c r="H55" s="180"/>
      <c r="I55" s="181"/>
      <c r="J55" s="189"/>
    </row>
    <row r="56" ht="16.5" customHeight="1">
      <c r="A56" s="189"/>
      <c r="B56" s="190"/>
      <c r="C56" s="183" t="s">
        <v>430</v>
      </c>
      <c r="D56" s="191"/>
      <c r="E56" s="185" t="str">
        <f t="shared" si="1"/>
        <v>waiting</v>
      </c>
      <c r="F56" s="186" t="str">
        <f t="shared" si="2"/>
        <v>waiting</v>
      </c>
      <c r="G56" s="180"/>
      <c r="H56" s="180"/>
      <c r="I56" s="181"/>
      <c r="J56" s="189"/>
    </row>
    <row r="57" ht="16.5" customHeight="1">
      <c r="A57" s="189"/>
      <c r="B57" s="192"/>
      <c r="C57" s="177" t="s">
        <v>431</v>
      </c>
      <c r="D57" s="194"/>
      <c r="E57" s="178" t="str">
        <f t="shared" si="1"/>
        <v>waiting</v>
      </c>
      <c r="F57" s="179" t="str">
        <f t="shared" si="2"/>
        <v>waiting</v>
      </c>
      <c r="G57" s="180"/>
      <c r="H57" s="180"/>
      <c r="I57" s="181"/>
      <c r="J57" s="189"/>
    </row>
    <row r="58" ht="16.5" customHeight="1">
      <c r="A58" s="189"/>
      <c r="B58" s="190"/>
      <c r="C58" s="183" t="s">
        <v>432</v>
      </c>
      <c r="D58" s="191"/>
      <c r="E58" s="185" t="str">
        <f t="shared" si="1"/>
        <v>waiting</v>
      </c>
      <c r="F58" s="186" t="str">
        <f t="shared" si="2"/>
        <v>waiting</v>
      </c>
      <c r="G58" s="180"/>
      <c r="H58" s="180"/>
      <c r="I58" s="181"/>
      <c r="J58" s="189"/>
    </row>
    <row r="59" ht="16.5" customHeight="1">
      <c r="A59" s="189"/>
      <c r="B59" s="195"/>
      <c r="C59" s="196" t="s">
        <v>433</v>
      </c>
      <c r="D59" s="197"/>
      <c r="E59" s="198" t="str">
        <f t="shared" si="1"/>
        <v>waiting</v>
      </c>
      <c r="F59" s="199" t="str">
        <f t="shared" si="2"/>
        <v>waiting</v>
      </c>
      <c r="G59" s="200"/>
      <c r="H59" s="200"/>
      <c r="I59" s="201"/>
      <c r="J59" s="189"/>
    </row>
    <row r="60" ht="15.75" customHeight="1">
      <c r="B60" s="61"/>
      <c r="C60" s="61"/>
      <c r="D60" s="61"/>
      <c r="E60" s="61"/>
      <c r="F60" s="61"/>
      <c r="G60" s="61"/>
      <c r="H60" s="61"/>
      <c r="I60" s="61"/>
    </row>
    <row r="61" ht="15.75" customHeight="1">
      <c r="B61" s="61"/>
      <c r="C61" s="61"/>
      <c r="D61" s="61"/>
      <c r="E61" s="61"/>
      <c r="F61" s="61"/>
      <c r="G61" s="61"/>
      <c r="H61" s="61"/>
      <c r="I61" s="61"/>
    </row>
    <row r="62" ht="15.75" customHeight="1">
      <c r="B62" s="61"/>
      <c r="C62" s="61"/>
      <c r="D62" s="61"/>
      <c r="E62" s="61"/>
      <c r="F62" s="61"/>
      <c r="G62" s="61"/>
      <c r="H62" s="61"/>
      <c r="I62" s="61"/>
    </row>
  </sheetData>
  <mergeCells count="56">
    <mergeCell ref="C3:C4"/>
    <mergeCell ref="D6:E6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53:I53"/>
    <mergeCell ref="F54:I54"/>
    <mergeCell ref="F55:I55"/>
    <mergeCell ref="F56:I56"/>
    <mergeCell ref="F57:I57"/>
    <mergeCell ref="F58:I58"/>
    <mergeCell ref="F59:I59"/>
    <mergeCell ref="F46:I46"/>
    <mergeCell ref="F47:I47"/>
    <mergeCell ref="F48:I48"/>
    <mergeCell ref="F49:I49"/>
    <mergeCell ref="F50:I50"/>
    <mergeCell ref="F51:I51"/>
    <mergeCell ref="F52:I52"/>
  </mergeCells>
  <conditionalFormatting sqref="D8:D59">
    <cfRule type="containsBlanks" dxfId="6" priority="1">
      <formula>LEN(TRIM(D8))=0</formula>
    </cfRule>
  </conditionalFormatting>
  <conditionalFormatting sqref="D8:I59">
    <cfRule type="cellIs" dxfId="7" priority="2" operator="equal">
      <formula>"waiting"</formula>
    </cfRule>
  </conditionalFormatting>
  <dataValidations>
    <dataValidation type="list" allowBlank="1" sqref="G4">
      <formula1>"Cautious,Temperate,Aggressive"</formula1>
    </dataValidation>
    <dataValidation type="list" allowBlank="1" sqref="G3">
      <formula1>"Kg,Lbs"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050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0.75"/>
    <col customWidth="1" min="3" max="3" width="40.75"/>
    <col customWidth="1" min="4" max="4" width="17.25"/>
    <col customWidth="1" min="5" max="9" width="9.5"/>
  </cols>
  <sheetData>
    <row r="1" ht="15.75" customHeight="1">
      <c r="E1" s="138"/>
      <c r="F1" s="139"/>
      <c r="G1" s="138"/>
      <c r="H1" s="138"/>
    </row>
    <row r="2" ht="15.75" customHeight="1">
      <c r="A2" s="140"/>
      <c r="B2" s="141"/>
      <c r="C2" s="142"/>
      <c r="D2" s="142"/>
      <c r="E2" s="142"/>
      <c r="F2" s="143"/>
      <c r="G2" s="144"/>
      <c r="H2" s="145"/>
      <c r="I2" s="140"/>
    </row>
    <row r="3" ht="15.0" customHeight="1">
      <c r="A3" s="140"/>
      <c r="B3" s="146"/>
      <c r="C3" s="8"/>
      <c r="D3" s="147" t="s">
        <v>434</v>
      </c>
      <c r="E3" s="149"/>
      <c r="F3" s="150"/>
      <c r="G3" s="11" t="s">
        <v>1</v>
      </c>
      <c r="H3" s="152"/>
      <c r="I3" s="140"/>
    </row>
    <row r="4" ht="15.0" customHeight="1">
      <c r="A4" s="140"/>
      <c r="B4" s="146"/>
      <c r="D4" s="153" t="s">
        <v>435</v>
      </c>
      <c r="E4" s="73"/>
      <c r="F4" s="74"/>
      <c r="G4" s="14" t="s">
        <v>3</v>
      </c>
      <c r="H4" s="152"/>
      <c r="I4" s="140"/>
    </row>
    <row r="5">
      <c r="A5" s="140"/>
      <c r="B5" s="154"/>
      <c r="C5" s="155"/>
      <c r="D5" s="155"/>
      <c r="E5" s="155"/>
      <c r="F5" s="156"/>
      <c r="G5" s="157"/>
      <c r="H5" s="158"/>
      <c r="I5" s="140"/>
    </row>
    <row r="6" ht="27.0" customHeight="1">
      <c r="B6" s="159"/>
      <c r="C6" s="163" t="s">
        <v>436</v>
      </c>
      <c r="D6" s="202" t="s">
        <v>437</v>
      </c>
      <c r="E6" s="163" t="s">
        <v>438</v>
      </c>
      <c r="F6" s="84"/>
      <c r="G6" s="84"/>
      <c r="H6" s="162"/>
    </row>
    <row r="7" ht="3.75" customHeight="1">
      <c r="A7" s="169"/>
      <c r="B7" s="203"/>
      <c r="C7" s="204"/>
      <c r="D7" s="205"/>
      <c r="E7" s="179" t="s">
        <v>439</v>
      </c>
      <c r="F7" s="206"/>
      <c r="G7" s="206"/>
      <c r="H7" s="207"/>
      <c r="I7" s="169"/>
    </row>
    <row r="8" ht="15.75" customHeight="1">
      <c r="A8" s="169"/>
      <c r="B8" s="170"/>
      <c r="C8" s="208" t="s">
        <v>440</v>
      </c>
      <c r="D8" s="209"/>
      <c r="E8" s="173" t="str">
        <f t="shared" ref="E8:E999" si="1">if(D8="","",hyperlink(D8,"Video Tutorial"))</f>
        <v/>
      </c>
      <c r="F8" s="210"/>
      <c r="G8" s="210"/>
      <c r="H8" s="211"/>
      <c r="I8" s="169"/>
    </row>
    <row r="9" ht="15.75" customHeight="1">
      <c r="A9" s="169"/>
      <c r="B9" s="203"/>
      <c r="C9" s="204" t="s">
        <v>50</v>
      </c>
      <c r="D9" s="212" t="s">
        <v>441</v>
      </c>
      <c r="E9" s="213" t="str">
        <f t="shared" si="1"/>
        <v>Video Tutorial</v>
      </c>
      <c r="F9" s="214"/>
      <c r="G9" s="214"/>
      <c r="H9" s="215"/>
      <c r="I9" s="169"/>
    </row>
    <row r="10" ht="15.75" customHeight="1">
      <c r="A10" s="169"/>
      <c r="B10" s="182"/>
      <c r="C10" s="216" t="s">
        <v>17</v>
      </c>
      <c r="D10" s="217" t="s">
        <v>442</v>
      </c>
      <c r="E10" s="218" t="str">
        <f t="shared" si="1"/>
        <v>Video Tutorial</v>
      </c>
      <c r="F10" s="210"/>
      <c r="G10" s="210"/>
      <c r="H10" s="211"/>
      <c r="I10" s="169"/>
    </row>
    <row r="11" ht="15.75" customHeight="1">
      <c r="A11" s="169"/>
      <c r="B11" s="203"/>
      <c r="C11" s="204" t="s">
        <v>240</v>
      </c>
      <c r="D11" s="219" t="s">
        <v>443</v>
      </c>
      <c r="E11" s="213" t="str">
        <f t="shared" si="1"/>
        <v>Video Tutorial</v>
      </c>
      <c r="F11" s="214"/>
      <c r="G11" s="214"/>
      <c r="H11" s="215"/>
      <c r="I11" s="169"/>
    </row>
    <row r="12" ht="15.75" customHeight="1">
      <c r="A12" s="169"/>
      <c r="B12" s="182"/>
      <c r="C12" s="216" t="s">
        <v>444</v>
      </c>
      <c r="D12" s="209"/>
      <c r="E12" s="173" t="str">
        <f t="shared" si="1"/>
        <v/>
      </c>
      <c r="F12" s="210"/>
      <c r="G12" s="210"/>
      <c r="H12" s="211"/>
      <c r="I12" s="169"/>
    </row>
    <row r="13" ht="15.75" customHeight="1">
      <c r="A13" s="169"/>
      <c r="B13" s="203"/>
      <c r="C13" s="204" t="s">
        <v>445</v>
      </c>
      <c r="D13" s="220"/>
      <c r="E13" s="221" t="str">
        <f t="shared" si="1"/>
        <v/>
      </c>
      <c r="F13" s="214"/>
      <c r="G13" s="214"/>
      <c r="H13" s="215"/>
      <c r="I13" s="169"/>
    </row>
    <row r="14" ht="15.75" customHeight="1">
      <c r="A14" s="169"/>
      <c r="B14" s="182"/>
      <c r="C14" s="216" t="s">
        <v>446</v>
      </c>
      <c r="D14" s="209"/>
      <c r="E14" s="173" t="str">
        <f t="shared" si="1"/>
        <v/>
      </c>
      <c r="F14" s="210"/>
      <c r="G14" s="210"/>
      <c r="H14" s="211"/>
      <c r="I14" s="169"/>
    </row>
    <row r="15" ht="15.75" customHeight="1">
      <c r="A15" s="169"/>
      <c r="B15" s="203"/>
      <c r="C15" s="204" t="s">
        <v>226</v>
      </c>
      <c r="D15" s="219" t="s">
        <v>447</v>
      </c>
      <c r="E15" s="213" t="str">
        <f t="shared" si="1"/>
        <v>Video Tutorial</v>
      </c>
      <c r="F15" s="214"/>
      <c r="G15" s="214"/>
      <c r="H15" s="215"/>
      <c r="I15" s="169"/>
    </row>
    <row r="16" ht="15.75" customHeight="1">
      <c r="A16" s="169"/>
      <c r="B16" s="182"/>
      <c r="C16" s="216" t="s">
        <v>448</v>
      </c>
      <c r="D16" s="222" t="s">
        <v>447</v>
      </c>
      <c r="E16" s="218" t="str">
        <f t="shared" si="1"/>
        <v>Video Tutorial</v>
      </c>
      <c r="F16" s="210"/>
      <c r="G16" s="210"/>
      <c r="H16" s="211"/>
      <c r="I16" s="169"/>
    </row>
    <row r="17" ht="15.75" customHeight="1">
      <c r="A17" s="169"/>
      <c r="B17" s="203"/>
      <c r="C17" s="204" t="s">
        <v>449</v>
      </c>
      <c r="D17" s="223" t="s">
        <v>450</v>
      </c>
      <c r="E17" s="213" t="str">
        <f t="shared" si="1"/>
        <v>Video Tutorial</v>
      </c>
      <c r="F17" s="214"/>
      <c r="G17" s="214"/>
      <c r="H17" s="215"/>
      <c r="I17" s="169"/>
    </row>
    <row r="18" ht="15.75" customHeight="1">
      <c r="A18" s="169"/>
      <c r="B18" s="182"/>
      <c r="C18" s="216" t="s">
        <v>264</v>
      </c>
      <c r="D18" s="217" t="s">
        <v>451</v>
      </c>
      <c r="E18" s="218" t="str">
        <f t="shared" si="1"/>
        <v>Video Tutorial</v>
      </c>
      <c r="F18" s="210"/>
      <c r="G18" s="210"/>
      <c r="H18" s="211"/>
      <c r="I18" s="169"/>
    </row>
    <row r="19" ht="15.75" customHeight="1">
      <c r="A19" s="169"/>
      <c r="B19" s="203"/>
      <c r="C19" s="204" t="s">
        <v>452</v>
      </c>
      <c r="D19" s="220"/>
      <c r="E19" s="221" t="str">
        <f t="shared" si="1"/>
        <v/>
      </c>
      <c r="F19" s="214"/>
      <c r="G19" s="214"/>
      <c r="H19" s="215"/>
      <c r="I19" s="169"/>
    </row>
    <row r="20" ht="15.75" customHeight="1">
      <c r="A20" s="189"/>
      <c r="B20" s="190"/>
      <c r="C20" s="216" t="s">
        <v>148</v>
      </c>
      <c r="D20" s="224" t="s">
        <v>453</v>
      </c>
      <c r="E20" s="218" t="str">
        <f t="shared" si="1"/>
        <v>Video Tutorial</v>
      </c>
      <c r="F20" s="210"/>
      <c r="G20" s="210"/>
      <c r="H20" s="211"/>
      <c r="I20" s="189"/>
    </row>
    <row r="21" ht="15.75" customHeight="1">
      <c r="A21" s="189"/>
      <c r="B21" s="225"/>
      <c r="C21" s="204" t="s">
        <v>293</v>
      </c>
      <c r="D21" s="226" t="s">
        <v>454</v>
      </c>
      <c r="E21" s="213" t="str">
        <f t="shared" si="1"/>
        <v>Video Tutorial</v>
      </c>
      <c r="F21" s="214"/>
      <c r="G21" s="214"/>
      <c r="H21" s="215"/>
      <c r="I21" s="189"/>
    </row>
    <row r="22" ht="15.75" customHeight="1">
      <c r="A22" s="189"/>
      <c r="B22" s="190"/>
      <c r="C22" s="216" t="s">
        <v>455</v>
      </c>
      <c r="D22" s="224" t="s">
        <v>456</v>
      </c>
      <c r="E22" s="218" t="str">
        <f t="shared" si="1"/>
        <v>Video Tutorial</v>
      </c>
      <c r="F22" s="210"/>
      <c r="G22" s="210"/>
      <c r="H22" s="211"/>
      <c r="I22" s="189"/>
    </row>
    <row r="23" ht="15.75" customHeight="1">
      <c r="A23" s="189"/>
      <c r="B23" s="225"/>
      <c r="C23" s="204" t="s">
        <v>457</v>
      </c>
      <c r="D23" s="219" t="s">
        <v>456</v>
      </c>
      <c r="E23" s="213" t="str">
        <f t="shared" si="1"/>
        <v>Video Tutorial</v>
      </c>
      <c r="F23" s="214"/>
      <c r="G23" s="214"/>
      <c r="H23" s="215"/>
      <c r="I23" s="189"/>
    </row>
    <row r="24" ht="15.75" customHeight="1">
      <c r="A24" s="189"/>
      <c r="B24" s="190"/>
      <c r="C24" s="216" t="s">
        <v>257</v>
      </c>
      <c r="D24" s="222" t="s">
        <v>458</v>
      </c>
      <c r="E24" s="218" t="str">
        <f t="shared" si="1"/>
        <v>Video Tutorial</v>
      </c>
      <c r="F24" s="210"/>
      <c r="G24" s="210"/>
      <c r="H24" s="211"/>
      <c r="I24" s="189"/>
    </row>
    <row r="25" ht="15.75" customHeight="1">
      <c r="A25" s="189"/>
      <c r="B25" s="225"/>
      <c r="C25" s="204" t="s">
        <v>216</v>
      </c>
      <c r="D25" s="226" t="s">
        <v>459</v>
      </c>
      <c r="E25" s="213" t="str">
        <f t="shared" si="1"/>
        <v>Video Tutorial</v>
      </c>
      <c r="F25" s="214"/>
      <c r="G25" s="214"/>
      <c r="H25" s="215"/>
      <c r="I25" s="189"/>
    </row>
    <row r="26" ht="15.75" customHeight="1">
      <c r="A26" s="189"/>
      <c r="B26" s="190"/>
      <c r="C26" s="216" t="s">
        <v>460</v>
      </c>
      <c r="D26" s="217" t="s">
        <v>461</v>
      </c>
      <c r="E26" s="218" t="str">
        <f t="shared" si="1"/>
        <v>Video Tutorial</v>
      </c>
      <c r="F26" s="210"/>
      <c r="G26" s="210"/>
      <c r="H26" s="211"/>
      <c r="I26" s="189"/>
    </row>
    <row r="27" ht="15.75" customHeight="1">
      <c r="A27" s="189"/>
      <c r="B27" s="225"/>
      <c r="C27" s="204" t="s">
        <v>462</v>
      </c>
      <c r="D27" s="220"/>
      <c r="E27" s="221" t="str">
        <f t="shared" si="1"/>
        <v/>
      </c>
      <c r="F27" s="214"/>
      <c r="G27" s="214"/>
      <c r="H27" s="215"/>
      <c r="I27" s="189"/>
    </row>
    <row r="28" ht="15.75" customHeight="1">
      <c r="A28" s="189"/>
      <c r="B28" s="190"/>
      <c r="C28" s="216" t="s">
        <v>125</v>
      </c>
      <c r="D28" s="227" t="s">
        <v>463</v>
      </c>
      <c r="E28" s="218" t="str">
        <f t="shared" si="1"/>
        <v>Video Tutorial</v>
      </c>
      <c r="F28" s="210"/>
      <c r="G28" s="210"/>
      <c r="H28" s="211"/>
      <c r="I28" s="189"/>
    </row>
    <row r="29" ht="15.75" customHeight="1">
      <c r="A29" s="189"/>
      <c r="B29" s="225"/>
      <c r="C29" s="204" t="s">
        <v>464</v>
      </c>
      <c r="D29" s="220"/>
      <c r="E29" s="221" t="str">
        <f t="shared" si="1"/>
        <v/>
      </c>
      <c r="F29" s="214"/>
      <c r="G29" s="214"/>
      <c r="H29" s="215"/>
      <c r="I29" s="189"/>
    </row>
    <row r="30" ht="15.75" customHeight="1">
      <c r="A30" s="189"/>
      <c r="B30" s="190"/>
      <c r="C30" s="216" t="s">
        <v>465</v>
      </c>
      <c r="D30" s="209"/>
      <c r="E30" s="173" t="str">
        <f t="shared" si="1"/>
        <v/>
      </c>
      <c r="F30" s="210"/>
      <c r="G30" s="210"/>
      <c r="H30" s="211"/>
      <c r="I30" s="189"/>
    </row>
    <row r="31" ht="15.75" customHeight="1">
      <c r="A31" s="189"/>
      <c r="B31" s="225"/>
      <c r="C31" s="204" t="s">
        <v>466</v>
      </c>
      <c r="D31" s="220"/>
      <c r="E31" s="221" t="str">
        <f t="shared" si="1"/>
        <v/>
      </c>
      <c r="F31" s="214"/>
      <c r="G31" s="214"/>
      <c r="H31" s="215"/>
      <c r="I31" s="189"/>
    </row>
    <row r="32" ht="15.75" customHeight="1">
      <c r="A32" s="169"/>
      <c r="B32" s="182"/>
      <c r="C32" s="216" t="s">
        <v>467</v>
      </c>
      <c r="D32" s="228" t="s">
        <v>468</v>
      </c>
      <c r="E32" s="218" t="str">
        <f t="shared" si="1"/>
        <v>Video Tutorial</v>
      </c>
      <c r="F32" s="210"/>
      <c r="G32" s="210"/>
      <c r="H32" s="211"/>
      <c r="I32" s="169"/>
    </row>
    <row r="33" ht="15.75" customHeight="1">
      <c r="A33" s="169"/>
      <c r="B33" s="203"/>
      <c r="C33" s="204" t="s">
        <v>469</v>
      </c>
      <c r="D33" s="220"/>
      <c r="E33" s="221" t="str">
        <f t="shared" si="1"/>
        <v/>
      </c>
      <c r="F33" s="214"/>
      <c r="G33" s="214"/>
      <c r="H33" s="215"/>
      <c r="I33" s="169"/>
    </row>
    <row r="34" ht="15.75" customHeight="1">
      <c r="A34" s="169"/>
      <c r="B34" s="182"/>
      <c r="C34" s="216" t="s">
        <v>470</v>
      </c>
      <c r="D34" s="227" t="s">
        <v>471</v>
      </c>
      <c r="E34" s="218" t="str">
        <f t="shared" si="1"/>
        <v>Video Tutorial</v>
      </c>
      <c r="F34" s="210"/>
      <c r="G34" s="210"/>
      <c r="H34" s="211"/>
      <c r="I34" s="169"/>
    </row>
    <row r="35" ht="15.75" customHeight="1">
      <c r="A35" s="169"/>
      <c r="B35" s="203"/>
      <c r="C35" s="204" t="s">
        <v>267</v>
      </c>
      <c r="D35" s="220"/>
      <c r="E35" s="221" t="str">
        <f t="shared" si="1"/>
        <v/>
      </c>
      <c r="F35" s="214"/>
      <c r="G35" s="214"/>
      <c r="H35" s="215"/>
      <c r="I35" s="169"/>
    </row>
    <row r="36" ht="15.75" customHeight="1">
      <c r="A36" s="169"/>
      <c r="B36" s="182"/>
      <c r="C36" s="216" t="s">
        <v>472</v>
      </c>
      <c r="D36" s="209"/>
      <c r="E36" s="173" t="str">
        <f t="shared" si="1"/>
        <v/>
      </c>
      <c r="F36" s="210"/>
      <c r="G36" s="210"/>
      <c r="H36" s="211"/>
      <c r="I36" s="169"/>
    </row>
    <row r="37" ht="15.75" customHeight="1">
      <c r="A37" s="169"/>
      <c r="B37" s="203"/>
      <c r="C37" s="204" t="s">
        <v>473</v>
      </c>
      <c r="D37" s="223" t="s">
        <v>474</v>
      </c>
      <c r="E37" s="213" t="str">
        <f t="shared" si="1"/>
        <v>Video Tutorial</v>
      </c>
      <c r="F37" s="214"/>
      <c r="G37" s="214"/>
      <c r="H37" s="215"/>
      <c r="I37" s="169"/>
    </row>
    <row r="38" ht="15.75" customHeight="1">
      <c r="A38" s="169"/>
      <c r="B38" s="182"/>
      <c r="C38" s="216" t="s">
        <v>83</v>
      </c>
      <c r="D38" s="228" t="s">
        <v>468</v>
      </c>
      <c r="E38" s="218" t="str">
        <f t="shared" si="1"/>
        <v>Video Tutorial</v>
      </c>
      <c r="F38" s="210"/>
      <c r="G38" s="210"/>
      <c r="H38" s="211"/>
      <c r="I38" s="169"/>
    </row>
    <row r="39" ht="15.75" customHeight="1">
      <c r="A39" s="169"/>
      <c r="B39" s="203"/>
      <c r="C39" s="204" t="s">
        <v>475</v>
      </c>
      <c r="D39" s="229" t="s">
        <v>476</v>
      </c>
      <c r="E39" s="213" t="str">
        <f t="shared" si="1"/>
        <v>Video Tutorial</v>
      </c>
      <c r="F39" s="214"/>
      <c r="G39" s="214"/>
      <c r="H39" s="215"/>
      <c r="I39" s="169"/>
    </row>
    <row r="40" ht="15.75" customHeight="1">
      <c r="A40" s="189"/>
      <c r="B40" s="190"/>
      <c r="C40" s="183" t="s">
        <v>477</v>
      </c>
      <c r="D40" s="209"/>
      <c r="E40" s="173" t="str">
        <f t="shared" si="1"/>
        <v/>
      </c>
      <c r="F40" s="210"/>
      <c r="G40" s="210"/>
      <c r="H40" s="211"/>
      <c r="I40" s="189"/>
    </row>
    <row r="41" ht="15.75" customHeight="1">
      <c r="A41" s="189"/>
      <c r="B41" s="225"/>
      <c r="C41" s="204" t="s">
        <v>478</v>
      </c>
      <c r="D41" s="220"/>
      <c r="E41" s="221" t="str">
        <f t="shared" si="1"/>
        <v/>
      </c>
      <c r="F41" s="214"/>
      <c r="G41" s="214"/>
      <c r="H41" s="215"/>
      <c r="I41" s="189"/>
    </row>
    <row r="42" ht="15.75" customHeight="1">
      <c r="A42" s="189"/>
      <c r="B42" s="190"/>
      <c r="C42" s="216" t="s">
        <v>479</v>
      </c>
      <c r="D42" s="222" t="s">
        <v>480</v>
      </c>
      <c r="E42" s="218" t="str">
        <f t="shared" si="1"/>
        <v>Video Tutorial</v>
      </c>
      <c r="F42" s="210"/>
      <c r="G42" s="210"/>
      <c r="H42" s="211"/>
      <c r="I42" s="189"/>
    </row>
    <row r="43" ht="15.75" customHeight="1">
      <c r="A43" s="189"/>
      <c r="B43" s="225"/>
      <c r="C43" s="204" t="s">
        <v>481</v>
      </c>
      <c r="D43" s="229" t="s">
        <v>482</v>
      </c>
      <c r="E43" s="213" t="str">
        <f t="shared" si="1"/>
        <v>Video Tutorial</v>
      </c>
      <c r="F43" s="214"/>
      <c r="G43" s="214"/>
      <c r="H43" s="215"/>
      <c r="I43" s="189"/>
    </row>
    <row r="44" ht="15.75" customHeight="1">
      <c r="A44" s="189"/>
      <c r="B44" s="190"/>
      <c r="C44" s="216" t="s">
        <v>483</v>
      </c>
      <c r="D44" s="222" t="s">
        <v>484</v>
      </c>
      <c r="E44" s="218" t="str">
        <f t="shared" si="1"/>
        <v>Video Tutorial</v>
      </c>
      <c r="F44" s="210"/>
      <c r="G44" s="210"/>
      <c r="H44" s="211"/>
      <c r="I44" s="189"/>
    </row>
    <row r="45" ht="15.75" customHeight="1">
      <c r="A45" s="189"/>
      <c r="B45" s="225"/>
      <c r="C45" s="204" t="s">
        <v>485</v>
      </c>
      <c r="D45" s="219" t="s">
        <v>486</v>
      </c>
      <c r="E45" s="213" t="str">
        <f t="shared" si="1"/>
        <v>Video Tutorial</v>
      </c>
      <c r="F45" s="214"/>
      <c r="G45" s="214"/>
      <c r="H45" s="215"/>
      <c r="I45" s="189"/>
    </row>
    <row r="46" ht="15.75" customHeight="1">
      <c r="A46" s="189"/>
      <c r="B46" s="190"/>
      <c r="C46" s="216" t="s">
        <v>487</v>
      </c>
      <c r="D46" s="209"/>
      <c r="E46" s="173" t="str">
        <f t="shared" si="1"/>
        <v/>
      </c>
      <c r="F46" s="210"/>
      <c r="G46" s="210"/>
      <c r="H46" s="211"/>
      <c r="I46" s="189"/>
    </row>
    <row r="47" ht="15.75" customHeight="1">
      <c r="A47" s="189"/>
      <c r="B47" s="225"/>
      <c r="C47" s="204" t="s">
        <v>488</v>
      </c>
      <c r="D47" s="219" t="s">
        <v>489</v>
      </c>
      <c r="E47" s="213" t="str">
        <f t="shared" si="1"/>
        <v>Video Tutorial</v>
      </c>
      <c r="F47" s="214"/>
      <c r="G47" s="214"/>
      <c r="H47" s="215"/>
      <c r="I47" s="189"/>
    </row>
    <row r="48" ht="15.75" customHeight="1">
      <c r="A48" s="189"/>
      <c r="B48" s="190"/>
      <c r="C48" s="216" t="s">
        <v>323</v>
      </c>
      <c r="D48" s="222" t="s">
        <v>490</v>
      </c>
      <c r="E48" s="218" t="str">
        <f t="shared" si="1"/>
        <v>Video Tutorial</v>
      </c>
      <c r="F48" s="210"/>
      <c r="G48" s="210"/>
      <c r="H48" s="211"/>
      <c r="I48" s="189"/>
    </row>
    <row r="49" ht="15.75" customHeight="1">
      <c r="A49" s="189"/>
      <c r="B49" s="225"/>
      <c r="C49" s="204" t="s">
        <v>491</v>
      </c>
      <c r="D49" s="220"/>
      <c r="E49" s="221" t="str">
        <f t="shared" si="1"/>
        <v/>
      </c>
      <c r="F49" s="214"/>
      <c r="G49" s="214"/>
      <c r="H49" s="215"/>
      <c r="I49" s="189"/>
    </row>
    <row r="50" ht="15.75" customHeight="1">
      <c r="A50" s="189"/>
      <c r="B50" s="190"/>
      <c r="C50" s="216" t="s">
        <v>492</v>
      </c>
      <c r="D50" s="222" t="s">
        <v>493</v>
      </c>
      <c r="E50" s="218" t="str">
        <f t="shared" si="1"/>
        <v>Video Tutorial</v>
      </c>
      <c r="F50" s="210"/>
      <c r="G50" s="210"/>
      <c r="H50" s="211"/>
      <c r="I50" s="189"/>
    </row>
    <row r="51" ht="15.75" customHeight="1">
      <c r="A51" s="189"/>
      <c r="B51" s="225"/>
      <c r="C51" s="204" t="s">
        <v>494</v>
      </c>
      <c r="D51" s="223" t="s">
        <v>495</v>
      </c>
      <c r="E51" s="213" t="str">
        <f t="shared" si="1"/>
        <v>Video Tutorial</v>
      </c>
      <c r="F51" s="214"/>
      <c r="G51" s="214"/>
      <c r="H51" s="215"/>
      <c r="I51" s="189"/>
    </row>
    <row r="52" ht="15.75" customHeight="1">
      <c r="A52" s="189"/>
      <c r="B52" s="190"/>
      <c r="C52" s="216" t="s">
        <v>47</v>
      </c>
      <c r="D52" s="224" t="s">
        <v>496</v>
      </c>
      <c r="E52" s="218" t="str">
        <f t="shared" si="1"/>
        <v>Video Tutorial</v>
      </c>
      <c r="F52" s="210"/>
      <c r="G52" s="210"/>
      <c r="H52" s="211"/>
      <c r="I52" s="189"/>
    </row>
    <row r="53" ht="15.75" customHeight="1">
      <c r="A53" s="189"/>
      <c r="B53" s="225"/>
      <c r="C53" s="204" t="s">
        <v>190</v>
      </c>
      <c r="D53" s="229" t="s">
        <v>497</v>
      </c>
      <c r="E53" s="213" t="str">
        <f t="shared" si="1"/>
        <v>Video Tutorial</v>
      </c>
      <c r="F53" s="214"/>
      <c r="G53" s="214"/>
      <c r="H53" s="215"/>
      <c r="I53" s="189"/>
    </row>
    <row r="54" ht="15.75" customHeight="1">
      <c r="A54" s="189"/>
      <c r="B54" s="190"/>
      <c r="C54" s="216" t="s">
        <v>54</v>
      </c>
      <c r="D54" s="227" t="s">
        <v>498</v>
      </c>
      <c r="E54" s="218" t="str">
        <f t="shared" si="1"/>
        <v>Video Tutorial</v>
      </c>
      <c r="F54" s="210"/>
      <c r="G54" s="210"/>
      <c r="H54" s="211"/>
      <c r="I54" s="189"/>
    </row>
    <row r="55" ht="15.75" customHeight="1">
      <c r="A55" s="189"/>
      <c r="B55" s="225"/>
      <c r="C55" s="204" t="s">
        <v>111</v>
      </c>
      <c r="D55" s="229" t="s">
        <v>499</v>
      </c>
      <c r="E55" s="213" t="str">
        <f t="shared" si="1"/>
        <v>Video Tutorial</v>
      </c>
      <c r="F55" s="214"/>
      <c r="G55" s="214"/>
      <c r="H55" s="215"/>
      <c r="I55" s="189"/>
    </row>
    <row r="56" ht="15.75" customHeight="1">
      <c r="A56" s="189"/>
      <c r="B56" s="190"/>
      <c r="C56" s="216" t="s">
        <v>500</v>
      </c>
      <c r="D56" s="217" t="s">
        <v>501</v>
      </c>
      <c r="E56" s="218" t="str">
        <f t="shared" si="1"/>
        <v>Video Tutorial</v>
      </c>
      <c r="F56" s="210"/>
      <c r="G56" s="210"/>
      <c r="H56" s="211"/>
      <c r="I56" s="189"/>
    </row>
    <row r="57" ht="15.75" customHeight="1">
      <c r="A57" s="189"/>
      <c r="B57" s="225"/>
      <c r="C57" s="204" t="s">
        <v>502</v>
      </c>
      <c r="D57" s="220"/>
      <c r="E57" s="221" t="str">
        <f t="shared" si="1"/>
        <v/>
      </c>
      <c r="F57" s="214"/>
      <c r="G57" s="214"/>
      <c r="H57" s="215"/>
      <c r="I57" s="189"/>
    </row>
    <row r="58" ht="15.75" customHeight="1">
      <c r="A58" s="189"/>
      <c r="B58" s="190"/>
      <c r="C58" s="216" t="s">
        <v>285</v>
      </c>
      <c r="D58" s="227" t="s">
        <v>503</v>
      </c>
      <c r="E58" s="218" t="str">
        <f t="shared" si="1"/>
        <v>Video Tutorial</v>
      </c>
      <c r="F58" s="210"/>
      <c r="G58" s="210"/>
      <c r="H58" s="211"/>
      <c r="I58" s="189"/>
    </row>
    <row r="59" ht="15.75" customHeight="1">
      <c r="A59" s="189"/>
      <c r="B59" s="225"/>
      <c r="C59" s="204" t="s">
        <v>229</v>
      </c>
      <c r="D59" s="223" t="s">
        <v>504</v>
      </c>
      <c r="E59" s="213" t="str">
        <f t="shared" si="1"/>
        <v>Video Tutorial</v>
      </c>
      <c r="F59" s="214"/>
      <c r="G59" s="214"/>
      <c r="H59" s="215"/>
      <c r="I59" s="189"/>
    </row>
    <row r="60" ht="15.75" customHeight="1">
      <c r="A60" s="189"/>
      <c r="B60" s="190"/>
      <c r="C60" s="216" t="s">
        <v>505</v>
      </c>
      <c r="D60" s="209"/>
      <c r="E60" s="173" t="str">
        <f t="shared" si="1"/>
        <v/>
      </c>
      <c r="F60" s="210"/>
      <c r="G60" s="210"/>
      <c r="H60" s="211"/>
      <c r="I60" s="189"/>
    </row>
    <row r="61" ht="15.75" customHeight="1">
      <c r="A61" s="189"/>
      <c r="B61" s="225"/>
      <c r="C61" s="204" t="s">
        <v>80</v>
      </c>
      <c r="D61" s="229" t="s">
        <v>506</v>
      </c>
      <c r="E61" s="213" t="str">
        <f t="shared" si="1"/>
        <v>Video Tutorial</v>
      </c>
      <c r="F61" s="214"/>
      <c r="G61" s="214"/>
      <c r="H61" s="215"/>
      <c r="I61" s="189"/>
    </row>
    <row r="62" ht="15.75" customHeight="1">
      <c r="A62" s="189"/>
      <c r="B62" s="190"/>
      <c r="C62" s="216" t="s">
        <v>507</v>
      </c>
      <c r="D62" s="209"/>
      <c r="E62" s="173" t="str">
        <f t="shared" si="1"/>
        <v/>
      </c>
      <c r="F62" s="210"/>
      <c r="G62" s="210"/>
      <c r="H62" s="211"/>
      <c r="I62" s="189"/>
    </row>
    <row r="63" ht="15.75" customHeight="1">
      <c r="A63" s="189"/>
      <c r="B63" s="225"/>
      <c r="C63" s="204" t="s">
        <v>508</v>
      </c>
      <c r="D63" s="223" t="s">
        <v>509</v>
      </c>
      <c r="E63" s="213" t="str">
        <f t="shared" si="1"/>
        <v>Video Tutorial</v>
      </c>
      <c r="F63" s="214"/>
      <c r="G63" s="214"/>
      <c r="H63" s="215"/>
      <c r="I63" s="189"/>
    </row>
    <row r="64" ht="15.75" customHeight="1">
      <c r="A64" s="189"/>
      <c r="B64" s="190"/>
      <c r="C64" s="216" t="s">
        <v>510</v>
      </c>
      <c r="D64" s="224" t="s">
        <v>468</v>
      </c>
      <c r="E64" s="218" t="str">
        <f t="shared" si="1"/>
        <v>Video Tutorial</v>
      </c>
      <c r="F64" s="210"/>
      <c r="G64" s="210"/>
      <c r="H64" s="211"/>
      <c r="I64" s="189"/>
    </row>
    <row r="65" ht="15.75" customHeight="1">
      <c r="A65" s="189"/>
      <c r="B65" s="225"/>
      <c r="C65" s="204" t="s">
        <v>107</v>
      </c>
      <c r="D65" s="223" t="s">
        <v>476</v>
      </c>
      <c r="E65" s="213" t="str">
        <f t="shared" si="1"/>
        <v>Video Tutorial</v>
      </c>
      <c r="F65" s="214"/>
      <c r="G65" s="214"/>
      <c r="H65" s="215"/>
      <c r="I65" s="189"/>
    </row>
    <row r="66" ht="15.75" customHeight="1">
      <c r="A66" s="189"/>
      <c r="B66" s="190"/>
      <c r="C66" s="216" t="s">
        <v>40</v>
      </c>
      <c r="D66" s="227" t="s">
        <v>511</v>
      </c>
      <c r="E66" s="218" t="str">
        <f t="shared" si="1"/>
        <v>Video Tutorial</v>
      </c>
      <c r="F66" s="210"/>
      <c r="G66" s="210"/>
      <c r="H66" s="211"/>
      <c r="I66" s="189"/>
    </row>
    <row r="67" ht="15.75" customHeight="1">
      <c r="A67" s="189"/>
      <c r="B67" s="225"/>
      <c r="C67" s="204" t="s">
        <v>512</v>
      </c>
      <c r="D67" s="219" t="s">
        <v>513</v>
      </c>
      <c r="E67" s="213" t="str">
        <f t="shared" si="1"/>
        <v>Video Tutorial</v>
      </c>
      <c r="F67" s="214"/>
      <c r="G67" s="214"/>
      <c r="H67" s="215"/>
      <c r="I67" s="189"/>
    </row>
    <row r="68" ht="15.75" customHeight="1">
      <c r="A68" s="189"/>
      <c r="B68" s="190"/>
      <c r="C68" s="216" t="s">
        <v>514</v>
      </c>
      <c r="D68" s="209"/>
      <c r="E68" s="173" t="str">
        <f t="shared" si="1"/>
        <v/>
      </c>
      <c r="F68" s="210"/>
      <c r="G68" s="210"/>
      <c r="H68" s="211"/>
      <c r="I68" s="189"/>
    </row>
    <row r="69" ht="15.75" customHeight="1">
      <c r="A69" s="189"/>
      <c r="B69" s="225"/>
      <c r="C69" s="204" t="s">
        <v>260</v>
      </c>
      <c r="D69" s="219" t="s">
        <v>515</v>
      </c>
      <c r="E69" s="213" t="str">
        <f t="shared" si="1"/>
        <v>Video Tutorial</v>
      </c>
      <c r="F69" s="214"/>
      <c r="G69" s="214"/>
      <c r="H69" s="215"/>
      <c r="I69" s="189"/>
    </row>
    <row r="70" ht="15.75" customHeight="1">
      <c r="A70" s="189"/>
      <c r="B70" s="190"/>
      <c r="C70" s="216" t="s">
        <v>57</v>
      </c>
      <c r="D70" s="230" t="s">
        <v>516</v>
      </c>
      <c r="E70" s="218" t="str">
        <f t="shared" si="1"/>
        <v>Video Tutorial</v>
      </c>
      <c r="F70" s="210"/>
      <c r="G70" s="210"/>
      <c r="H70" s="211"/>
      <c r="I70" s="189"/>
    </row>
    <row r="71" ht="15.75" customHeight="1">
      <c r="A71" s="189"/>
      <c r="B71" s="225"/>
      <c r="C71" s="204" t="s">
        <v>517</v>
      </c>
      <c r="D71" s="219" t="s">
        <v>459</v>
      </c>
      <c r="E71" s="213" t="str">
        <f t="shared" si="1"/>
        <v>Video Tutorial</v>
      </c>
      <c r="F71" s="214"/>
      <c r="G71" s="214"/>
      <c r="H71" s="215"/>
      <c r="I71" s="189"/>
    </row>
    <row r="72" ht="15.75" customHeight="1">
      <c r="A72" s="189"/>
      <c r="B72" s="190"/>
      <c r="C72" s="216" t="s">
        <v>19</v>
      </c>
      <c r="D72" s="227" t="s">
        <v>518</v>
      </c>
      <c r="E72" s="218" t="str">
        <f t="shared" si="1"/>
        <v>Video Tutorial</v>
      </c>
      <c r="F72" s="210"/>
      <c r="G72" s="210"/>
      <c r="H72" s="211"/>
      <c r="I72" s="189"/>
    </row>
    <row r="73" ht="15.75" customHeight="1">
      <c r="A73" s="189"/>
      <c r="B73" s="225"/>
      <c r="C73" s="204" t="s">
        <v>519</v>
      </c>
      <c r="D73" s="219" t="s">
        <v>520</v>
      </c>
      <c r="E73" s="213" t="str">
        <f t="shared" si="1"/>
        <v>Video Tutorial</v>
      </c>
      <c r="F73" s="214"/>
      <c r="G73" s="214"/>
      <c r="H73" s="215"/>
      <c r="I73" s="189"/>
    </row>
    <row r="74" ht="15.75" customHeight="1">
      <c r="A74" s="189"/>
      <c r="B74" s="190"/>
      <c r="C74" s="216" t="s">
        <v>312</v>
      </c>
      <c r="D74" s="222" t="s">
        <v>521</v>
      </c>
      <c r="E74" s="218" t="str">
        <f t="shared" si="1"/>
        <v>Video Tutorial</v>
      </c>
      <c r="F74" s="210"/>
      <c r="G74" s="210"/>
      <c r="H74" s="211"/>
      <c r="I74" s="189"/>
    </row>
    <row r="75" ht="15.75" customHeight="1">
      <c r="A75" s="189"/>
      <c r="B75" s="225"/>
      <c r="C75" s="204" t="s">
        <v>299</v>
      </c>
      <c r="D75" s="223" t="s">
        <v>522</v>
      </c>
      <c r="E75" s="213" t="str">
        <f t="shared" si="1"/>
        <v>Video Tutorial</v>
      </c>
      <c r="F75" s="214"/>
      <c r="G75" s="214"/>
      <c r="H75" s="215"/>
      <c r="I75" s="189"/>
    </row>
    <row r="76" ht="15.75" customHeight="1">
      <c r="A76" s="189"/>
      <c r="B76" s="190"/>
      <c r="C76" s="216" t="s">
        <v>523</v>
      </c>
      <c r="D76" s="209"/>
      <c r="E76" s="173" t="str">
        <f t="shared" si="1"/>
        <v/>
      </c>
      <c r="F76" s="210"/>
      <c r="G76" s="210"/>
      <c r="H76" s="211"/>
      <c r="I76" s="189"/>
    </row>
    <row r="77" ht="15.75" customHeight="1">
      <c r="A77" s="189"/>
      <c r="B77" s="225"/>
      <c r="C77" s="204" t="s">
        <v>524</v>
      </c>
      <c r="D77" s="220"/>
      <c r="E77" s="221" t="str">
        <f t="shared" si="1"/>
        <v/>
      </c>
      <c r="F77" s="214"/>
      <c r="G77" s="214"/>
      <c r="H77" s="215"/>
      <c r="I77" s="189"/>
    </row>
    <row r="78" ht="15.75" customHeight="1">
      <c r="A78" s="189"/>
      <c r="B78" s="190"/>
      <c r="C78" s="216" t="s">
        <v>525</v>
      </c>
      <c r="D78" s="217" t="s">
        <v>526</v>
      </c>
      <c r="E78" s="218" t="str">
        <f t="shared" si="1"/>
        <v>Video Tutorial</v>
      </c>
      <c r="F78" s="210"/>
      <c r="G78" s="210"/>
      <c r="H78" s="211"/>
      <c r="I78" s="189"/>
    </row>
    <row r="79" ht="15.75" customHeight="1">
      <c r="A79" s="189"/>
      <c r="B79" s="225"/>
      <c r="C79" s="204" t="s">
        <v>154</v>
      </c>
      <c r="D79" s="223" t="s">
        <v>527</v>
      </c>
      <c r="E79" s="213" t="str">
        <f t="shared" si="1"/>
        <v>Video Tutorial</v>
      </c>
      <c r="F79" s="214"/>
      <c r="G79" s="214"/>
      <c r="H79" s="215"/>
      <c r="I79" s="189"/>
    </row>
    <row r="80" ht="15.75" customHeight="1">
      <c r="A80" s="189"/>
      <c r="B80" s="190"/>
      <c r="C80" s="216" t="s">
        <v>528</v>
      </c>
      <c r="D80" s="222" t="s">
        <v>513</v>
      </c>
      <c r="E80" s="218" t="str">
        <f t="shared" si="1"/>
        <v>Video Tutorial</v>
      </c>
      <c r="F80" s="210"/>
      <c r="G80" s="210"/>
      <c r="H80" s="211"/>
      <c r="I80" s="189"/>
    </row>
    <row r="81" ht="15.75" customHeight="1">
      <c r="A81" s="189"/>
      <c r="B81" s="225"/>
      <c r="C81" s="204" t="s">
        <v>529</v>
      </c>
      <c r="D81" s="220"/>
      <c r="E81" s="221" t="str">
        <f t="shared" si="1"/>
        <v/>
      </c>
      <c r="F81" s="214"/>
      <c r="G81" s="214"/>
      <c r="H81" s="215"/>
      <c r="I81" s="189"/>
    </row>
    <row r="82" ht="15.75" customHeight="1">
      <c r="A82" s="189"/>
      <c r="B82" s="190"/>
      <c r="C82" s="216" t="s">
        <v>530</v>
      </c>
      <c r="D82" s="209"/>
      <c r="E82" s="173" t="str">
        <f t="shared" si="1"/>
        <v/>
      </c>
      <c r="F82" s="210"/>
      <c r="G82" s="210"/>
      <c r="H82" s="211"/>
      <c r="I82" s="189"/>
    </row>
    <row r="83" ht="15.75" customHeight="1">
      <c r="A83" s="189"/>
      <c r="B83" s="225"/>
      <c r="C83" s="204" t="s">
        <v>531</v>
      </c>
      <c r="D83" s="219" t="s">
        <v>532</v>
      </c>
      <c r="E83" s="213" t="str">
        <f t="shared" si="1"/>
        <v>Video Tutorial</v>
      </c>
      <c r="F83" s="214"/>
      <c r="G83" s="214"/>
      <c r="H83" s="215"/>
      <c r="I83" s="189"/>
    </row>
    <row r="84" ht="15.75" customHeight="1">
      <c r="A84" s="189"/>
      <c r="B84" s="190"/>
      <c r="C84" s="216" t="s">
        <v>533</v>
      </c>
      <c r="D84" s="227" t="s">
        <v>534</v>
      </c>
      <c r="E84" s="218" t="str">
        <f t="shared" si="1"/>
        <v>Video Tutorial</v>
      </c>
      <c r="F84" s="210"/>
      <c r="G84" s="210"/>
      <c r="H84" s="211"/>
      <c r="I84" s="189"/>
    </row>
    <row r="85" ht="15.75" customHeight="1">
      <c r="A85" s="189"/>
      <c r="B85" s="225"/>
      <c r="C85" s="204" t="s">
        <v>535</v>
      </c>
      <c r="D85" s="220"/>
      <c r="E85" s="221" t="str">
        <f t="shared" si="1"/>
        <v/>
      </c>
      <c r="F85" s="214"/>
      <c r="G85" s="214"/>
      <c r="H85" s="215"/>
      <c r="I85" s="189"/>
    </row>
    <row r="86" ht="15.75" customHeight="1">
      <c r="A86" s="189"/>
      <c r="B86" s="190"/>
      <c r="C86" s="216" t="s">
        <v>536</v>
      </c>
      <c r="D86" s="209"/>
      <c r="E86" s="173" t="str">
        <f t="shared" si="1"/>
        <v/>
      </c>
      <c r="F86" s="210"/>
      <c r="G86" s="210"/>
      <c r="H86" s="211"/>
      <c r="I86" s="189"/>
    </row>
    <row r="87" ht="15.75" customHeight="1">
      <c r="A87" s="189"/>
      <c r="B87" s="225"/>
      <c r="C87" s="204" t="s">
        <v>537</v>
      </c>
      <c r="D87" s="220"/>
      <c r="E87" s="221" t="str">
        <f t="shared" si="1"/>
        <v/>
      </c>
      <c r="F87" s="214"/>
      <c r="G87" s="214"/>
      <c r="H87" s="215"/>
      <c r="I87" s="189"/>
    </row>
    <row r="88" ht="15.75" customHeight="1">
      <c r="A88" s="189"/>
      <c r="B88" s="190"/>
      <c r="C88" s="216" t="s">
        <v>538</v>
      </c>
      <c r="D88" s="209"/>
      <c r="E88" s="173" t="str">
        <f t="shared" si="1"/>
        <v/>
      </c>
      <c r="F88" s="210"/>
      <c r="G88" s="210"/>
      <c r="H88" s="211"/>
      <c r="I88" s="189"/>
    </row>
    <row r="89" ht="15.75" customHeight="1">
      <c r="A89" s="189"/>
      <c r="B89" s="225"/>
      <c r="C89" s="204" t="s">
        <v>539</v>
      </c>
      <c r="D89" s="220"/>
      <c r="E89" s="221" t="str">
        <f t="shared" si="1"/>
        <v/>
      </c>
      <c r="F89" s="214"/>
      <c r="G89" s="214"/>
      <c r="H89" s="215"/>
      <c r="I89" s="189"/>
    </row>
    <row r="90" ht="15.75" customHeight="1">
      <c r="A90" s="189"/>
      <c r="B90" s="190"/>
      <c r="C90" s="216" t="s">
        <v>540</v>
      </c>
      <c r="D90" s="209"/>
      <c r="E90" s="173" t="str">
        <f t="shared" si="1"/>
        <v/>
      </c>
      <c r="F90" s="210"/>
      <c r="G90" s="210"/>
      <c r="H90" s="211"/>
      <c r="I90" s="189"/>
    </row>
    <row r="91" ht="15.75" customHeight="1">
      <c r="A91" s="189"/>
      <c r="B91" s="225"/>
      <c r="C91" s="204" t="s">
        <v>541</v>
      </c>
      <c r="D91" s="220"/>
      <c r="E91" s="221" t="str">
        <f t="shared" si="1"/>
        <v/>
      </c>
      <c r="F91" s="214"/>
      <c r="G91" s="214"/>
      <c r="H91" s="215"/>
      <c r="I91" s="189"/>
    </row>
    <row r="92" ht="15.75" customHeight="1">
      <c r="A92" s="189"/>
      <c r="B92" s="190"/>
      <c r="C92" s="216" t="s">
        <v>171</v>
      </c>
      <c r="D92" s="230" t="s">
        <v>542</v>
      </c>
      <c r="E92" s="218" t="str">
        <f t="shared" si="1"/>
        <v>Video Tutorial</v>
      </c>
      <c r="F92" s="210"/>
      <c r="G92" s="210"/>
      <c r="H92" s="211"/>
      <c r="I92" s="189"/>
    </row>
    <row r="93" ht="15.75" customHeight="1">
      <c r="A93" s="189"/>
      <c r="B93" s="225"/>
      <c r="C93" s="204" t="s">
        <v>543</v>
      </c>
      <c r="D93" s="220"/>
      <c r="E93" s="221" t="str">
        <f t="shared" si="1"/>
        <v/>
      </c>
      <c r="F93" s="214"/>
      <c r="G93" s="214"/>
      <c r="H93" s="215"/>
      <c r="I93" s="189"/>
    </row>
    <row r="94" ht="15.75" customHeight="1">
      <c r="A94" s="189"/>
      <c r="B94" s="190"/>
      <c r="C94" s="216" t="s">
        <v>199</v>
      </c>
      <c r="D94" s="217" t="s">
        <v>544</v>
      </c>
      <c r="E94" s="218" t="str">
        <f t="shared" si="1"/>
        <v>Video Tutorial</v>
      </c>
      <c r="F94" s="210"/>
      <c r="G94" s="210"/>
      <c r="H94" s="211"/>
      <c r="I94" s="189"/>
    </row>
    <row r="95" ht="15.75" customHeight="1">
      <c r="A95" s="189"/>
      <c r="B95" s="225"/>
      <c r="C95" s="204" t="s">
        <v>249</v>
      </c>
      <c r="D95" s="219" t="s">
        <v>545</v>
      </c>
      <c r="E95" s="213" t="str">
        <f t="shared" si="1"/>
        <v>Video Tutorial</v>
      </c>
      <c r="F95" s="214"/>
      <c r="G95" s="214"/>
      <c r="H95" s="215"/>
      <c r="I95" s="189"/>
    </row>
    <row r="96" ht="15.75" customHeight="1">
      <c r="A96" s="189"/>
      <c r="B96" s="190"/>
      <c r="C96" s="216" t="s">
        <v>546</v>
      </c>
      <c r="D96" s="227" t="s">
        <v>547</v>
      </c>
      <c r="E96" s="218" t="str">
        <f t="shared" si="1"/>
        <v>Video Tutorial</v>
      </c>
      <c r="F96" s="210"/>
      <c r="G96" s="210"/>
      <c r="H96" s="211"/>
      <c r="I96" s="189"/>
    </row>
    <row r="97" ht="15.75" customHeight="1">
      <c r="A97" s="189"/>
      <c r="B97" s="225"/>
      <c r="C97" s="204" t="s">
        <v>548</v>
      </c>
      <c r="D97" s="229" t="s">
        <v>549</v>
      </c>
      <c r="E97" s="213" t="str">
        <f t="shared" si="1"/>
        <v>Video Tutorial</v>
      </c>
      <c r="F97" s="214"/>
      <c r="G97" s="214"/>
      <c r="H97" s="215"/>
      <c r="I97" s="189"/>
    </row>
    <row r="98" ht="15.75" customHeight="1">
      <c r="A98" s="189"/>
      <c r="B98" s="190"/>
      <c r="C98" s="216" t="s">
        <v>550</v>
      </c>
      <c r="D98" s="227" t="s">
        <v>551</v>
      </c>
      <c r="E98" s="218" t="str">
        <f t="shared" si="1"/>
        <v>Video Tutorial</v>
      </c>
      <c r="F98" s="210"/>
      <c r="G98" s="210"/>
      <c r="H98" s="211"/>
      <c r="I98" s="189"/>
    </row>
    <row r="99" ht="15.75" customHeight="1">
      <c r="A99" s="189"/>
      <c r="B99" s="225"/>
      <c r="C99" s="204" t="s">
        <v>289</v>
      </c>
      <c r="D99" s="220"/>
      <c r="E99" s="221" t="str">
        <f t="shared" si="1"/>
        <v/>
      </c>
      <c r="F99" s="214"/>
      <c r="G99" s="214"/>
      <c r="H99" s="215"/>
      <c r="I99" s="189"/>
    </row>
    <row r="100" ht="15.75" customHeight="1">
      <c r="A100" s="189"/>
      <c r="B100" s="190"/>
      <c r="C100" s="216" t="s">
        <v>552</v>
      </c>
      <c r="D100" s="209"/>
      <c r="E100" s="173" t="str">
        <f t="shared" si="1"/>
        <v/>
      </c>
      <c r="F100" s="210"/>
      <c r="G100" s="210"/>
      <c r="H100" s="211"/>
      <c r="I100" s="189"/>
    </row>
    <row r="101" ht="15.75" customHeight="1">
      <c r="A101" s="189"/>
      <c r="B101" s="225"/>
      <c r="C101" s="204" t="s">
        <v>187</v>
      </c>
      <c r="D101" s="223" t="s">
        <v>553</v>
      </c>
      <c r="E101" s="213" t="str">
        <f t="shared" si="1"/>
        <v>Video Tutorial</v>
      </c>
      <c r="F101" s="214"/>
      <c r="G101" s="214"/>
      <c r="H101" s="215"/>
      <c r="I101" s="189"/>
    </row>
    <row r="102" ht="15.75" customHeight="1">
      <c r="A102" s="189"/>
      <c r="B102" s="190"/>
      <c r="C102" s="216" t="s">
        <v>554</v>
      </c>
      <c r="D102" s="209"/>
      <c r="E102" s="173" t="str">
        <f t="shared" si="1"/>
        <v/>
      </c>
      <c r="F102" s="210"/>
      <c r="G102" s="210"/>
      <c r="H102" s="211"/>
      <c r="I102" s="189"/>
    </row>
    <row r="103" ht="15.75" customHeight="1">
      <c r="A103" s="189"/>
      <c r="B103" s="225"/>
      <c r="C103" s="204" t="s">
        <v>555</v>
      </c>
      <c r="D103" s="231" t="s">
        <v>556</v>
      </c>
      <c r="E103" s="213" t="str">
        <f t="shared" si="1"/>
        <v>Video Tutorial</v>
      </c>
      <c r="F103" s="214"/>
      <c r="G103" s="214"/>
      <c r="H103" s="215"/>
      <c r="I103" s="189"/>
    </row>
    <row r="104" ht="15.75" customHeight="1">
      <c r="A104" s="189"/>
      <c r="B104" s="190"/>
      <c r="C104" s="216" t="s">
        <v>23</v>
      </c>
      <c r="D104" s="209"/>
      <c r="E104" s="173" t="str">
        <f t="shared" si="1"/>
        <v/>
      </c>
      <c r="F104" s="210"/>
      <c r="G104" s="210"/>
      <c r="H104" s="211"/>
      <c r="I104" s="189"/>
    </row>
    <row r="105" ht="15.75" customHeight="1">
      <c r="A105" s="189"/>
      <c r="B105" s="225"/>
      <c r="C105" s="204" t="s">
        <v>104</v>
      </c>
      <c r="D105" s="220"/>
      <c r="E105" s="221" t="str">
        <f t="shared" si="1"/>
        <v/>
      </c>
      <c r="F105" s="214"/>
      <c r="G105" s="214"/>
      <c r="H105" s="215"/>
      <c r="I105" s="189"/>
    </row>
    <row r="106" ht="15.75" customHeight="1">
      <c r="A106" s="189"/>
      <c r="B106" s="190"/>
      <c r="C106" s="216" t="s">
        <v>7</v>
      </c>
      <c r="D106" s="227" t="s">
        <v>557</v>
      </c>
      <c r="E106" s="218" t="str">
        <f t="shared" si="1"/>
        <v>Video Tutorial</v>
      </c>
      <c r="F106" s="210"/>
      <c r="G106" s="210"/>
      <c r="H106" s="211"/>
      <c r="I106" s="189"/>
    </row>
    <row r="107" ht="15.75" customHeight="1">
      <c r="A107" s="189"/>
      <c r="B107" s="225"/>
      <c r="C107" s="204" t="s">
        <v>558</v>
      </c>
      <c r="D107" s="220"/>
      <c r="E107" s="221" t="str">
        <f t="shared" si="1"/>
        <v/>
      </c>
      <c r="F107" s="214"/>
      <c r="G107" s="214"/>
      <c r="H107" s="215"/>
      <c r="I107" s="189"/>
    </row>
    <row r="108" ht="15.75" customHeight="1">
      <c r="A108" s="189"/>
      <c r="B108" s="190"/>
      <c r="C108" s="216" t="s">
        <v>366</v>
      </c>
      <c r="D108" s="222" t="s">
        <v>559</v>
      </c>
      <c r="E108" s="218" t="str">
        <f t="shared" si="1"/>
        <v>Video Tutorial</v>
      </c>
      <c r="F108" s="210"/>
      <c r="G108" s="210"/>
      <c r="H108" s="211"/>
      <c r="I108" s="189"/>
    </row>
    <row r="109" ht="15.75" customHeight="1">
      <c r="A109" s="189"/>
      <c r="B109" s="225"/>
      <c r="C109" s="204" t="s">
        <v>358</v>
      </c>
      <c r="D109" s="219" t="s">
        <v>560</v>
      </c>
      <c r="E109" s="213" t="str">
        <f t="shared" si="1"/>
        <v>Video Tutorial</v>
      </c>
      <c r="F109" s="214"/>
      <c r="G109" s="214"/>
      <c r="H109" s="215"/>
      <c r="I109" s="189"/>
    </row>
    <row r="110" ht="15.75" customHeight="1">
      <c r="A110" s="189"/>
      <c r="B110" s="190"/>
      <c r="C110" s="216" t="s">
        <v>243</v>
      </c>
      <c r="D110" s="217" t="s">
        <v>561</v>
      </c>
      <c r="E110" s="218" t="str">
        <f t="shared" si="1"/>
        <v>Video Tutorial</v>
      </c>
      <c r="F110" s="210"/>
      <c r="G110" s="210"/>
      <c r="H110" s="211"/>
      <c r="I110" s="189"/>
    </row>
    <row r="111" ht="15.75" customHeight="1">
      <c r="A111" s="189"/>
      <c r="B111" s="225"/>
      <c r="C111" s="204" t="s">
        <v>562</v>
      </c>
      <c r="D111" s="223" t="s">
        <v>563</v>
      </c>
      <c r="E111" s="213" t="str">
        <f t="shared" si="1"/>
        <v>Video Tutorial</v>
      </c>
      <c r="F111" s="214"/>
      <c r="G111" s="214"/>
      <c r="H111" s="215"/>
      <c r="I111" s="189"/>
    </row>
    <row r="112" ht="15.75" customHeight="1">
      <c r="A112" s="189"/>
      <c r="B112" s="190"/>
      <c r="C112" s="216" t="s">
        <v>564</v>
      </c>
      <c r="D112" s="222" t="s">
        <v>565</v>
      </c>
      <c r="E112" s="218" t="str">
        <f t="shared" si="1"/>
        <v>Video Tutorial</v>
      </c>
      <c r="F112" s="210"/>
      <c r="G112" s="210"/>
      <c r="H112" s="211"/>
      <c r="I112" s="189"/>
    </row>
    <row r="113" ht="15.75" customHeight="1">
      <c r="A113" s="189"/>
      <c r="B113" s="225"/>
      <c r="C113" s="204" t="s">
        <v>566</v>
      </c>
      <c r="D113" s="220"/>
      <c r="E113" s="221" t="str">
        <f t="shared" si="1"/>
        <v/>
      </c>
      <c r="F113" s="214"/>
      <c r="G113" s="214"/>
      <c r="H113" s="215"/>
      <c r="I113" s="189"/>
    </row>
    <row r="114" ht="15.75" customHeight="1">
      <c r="A114" s="189"/>
      <c r="B114" s="190"/>
      <c r="C114" s="216" t="s">
        <v>204</v>
      </c>
      <c r="D114" s="222" t="s">
        <v>567</v>
      </c>
      <c r="E114" s="218" t="str">
        <f t="shared" si="1"/>
        <v>Video Tutorial</v>
      </c>
      <c r="F114" s="210"/>
      <c r="G114" s="210"/>
      <c r="H114" s="211"/>
      <c r="I114" s="189"/>
    </row>
    <row r="115" ht="15.75" customHeight="1">
      <c r="A115" s="189"/>
      <c r="B115" s="225"/>
      <c r="C115" s="204" t="s">
        <v>114</v>
      </c>
      <c r="D115" s="229" t="s">
        <v>568</v>
      </c>
      <c r="E115" s="213" t="str">
        <f t="shared" si="1"/>
        <v>Video Tutorial</v>
      </c>
      <c r="F115" s="214"/>
      <c r="G115" s="214"/>
      <c r="H115" s="215"/>
      <c r="I115" s="189"/>
    </row>
    <row r="116" ht="15.75" customHeight="1">
      <c r="B116" s="190"/>
      <c r="C116" s="216" t="s">
        <v>569</v>
      </c>
      <c r="D116" s="209"/>
      <c r="E116" s="173" t="str">
        <f t="shared" si="1"/>
        <v/>
      </c>
      <c r="F116" s="210"/>
      <c r="G116" s="210"/>
      <c r="H116" s="211"/>
    </row>
    <row r="117" ht="15.75" customHeight="1">
      <c r="B117" s="225"/>
      <c r="C117" s="204" t="s">
        <v>339</v>
      </c>
      <c r="D117" s="219" t="s">
        <v>570</v>
      </c>
      <c r="E117" s="213" t="str">
        <f t="shared" si="1"/>
        <v>Video Tutorial</v>
      </c>
      <c r="F117" s="214"/>
      <c r="G117" s="214"/>
      <c r="H117" s="215"/>
    </row>
    <row r="118" ht="15.75" customHeight="1">
      <c r="B118" s="190"/>
      <c r="C118" s="216" t="s">
        <v>571</v>
      </c>
      <c r="D118" s="224" t="s">
        <v>572</v>
      </c>
      <c r="E118" s="218" t="str">
        <f t="shared" si="1"/>
        <v>Video Tutorial</v>
      </c>
      <c r="F118" s="210"/>
      <c r="G118" s="210"/>
      <c r="H118" s="211"/>
    </row>
    <row r="119" ht="15.75" customHeight="1">
      <c r="B119" s="225"/>
      <c r="C119" s="204" t="s">
        <v>573</v>
      </c>
      <c r="D119" s="220"/>
      <c r="E119" s="221" t="str">
        <f t="shared" si="1"/>
        <v/>
      </c>
      <c r="F119" s="214"/>
      <c r="G119" s="214"/>
      <c r="H119" s="215"/>
    </row>
    <row r="120" ht="15.75" customHeight="1">
      <c r="B120" s="190"/>
      <c r="C120" s="216" t="s">
        <v>574</v>
      </c>
      <c r="D120" s="209"/>
      <c r="E120" s="173" t="str">
        <f t="shared" si="1"/>
        <v/>
      </c>
      <c r="F120" s="210"/>
      <c r="G120" s="210"/>
      <c r="H120" s="211"/>
    </row>
    <row r="121" ht="15.75" customHeight="1">
      <c r="B121" s="225"/>
      <c r="C121" s="204" t="s">
        <v>575</v>
      </c>
      <c r="D121" s="220"/>
      <c r="E121" s="221" t="str">
        <f t="shared" si="1"/>
        <v/>
      </c>
      <c r="F121" s="214"/>
      <c r="G121" s="214"/>
      <c r="H121" s="215"/>
    </row>
    <row r="122" ht="15.75" customHeight="1">
      <c r="B122" s="190"/>
      <c r="C122" s="216" t="s">
        <v>576</v>
      </c>
      <c r="D122" s="209"/>
      <c r="E122" s="173" t="str">
        <f t="shared" si="1"/>
        <v/>
      </c>
      <c r="F122" s="210"/>
      <c r="G122" s="210"/>
      <c r="H122" s="211"/>
    </row>
    <row r="123" ht="15.75" customHeight="1">
      <c r="B123" s="225"/>
      <c r="C123" s="204" t="s">
        <v>577</v>
      </c>
      <c r="D123" s="219" t="s">
        <v>486</v>
      </c>
      <c r="E123" s="213" t="str">
        <f t="shared" si="1"/>
        <v>Video Tutorial</v>
      </c>
      <c r="F123" s="214"/>
      <c r="G123" s="214"/>
      <c r="H123" s="215"/>
    </row>
    <row r="124" ht="15.75" customHeight="1">
      <c r="B124" s="190"/>
      <c r="C124" s="216" t="s">
        <v>578</v>
      </c>
      <c r="D124" s="209"/>
      <c r="E124" s="173" t="str">
        <f t="shared" si="1"/>
        <v/>
      </c>
      <c r="F124" s="210"/>
      <c r="G124" s="210"/>
      <c r="H124" s="211"/>
    </row>
    <row r="125" ht="15.75" customHeight="1">
      <c r="B125" s="225"/>
      <c r="C125" s="204" t="s">
        <v>579</v>
      </c>
      <c r="D125" s="220"/>
      <c r="E125" s="221" t="str">
        <f t="shared" si="1"/>
        <v/>
      </c>
      <c r="F125" s="214"/>
      <c r="G125" s="214"/>
      <c r="H125" s="215"/>
    </row>
    <row r="126" ht="15.75" customHeight="1">
      <c r="B126" s="190"/>
      <c r="C126" s="216" t="s">
        <v>580</v>
      </c>
      <c r="D126" s="209"/>
      <c r="E126" s="173" t="str">
        <f t="shared" si="1"/>
        <v/>
      </c>
      <c r="F126" s="210"/>
      <c r="G126" s="210"/>
      <c r="H126" s="211"/>
    </row>
    <row r="127" ht="15.75" customHeight="1">
      <c r="B127" s="225"/>
      <c r="C127" s="187"/>
      <c r="D127" s="232"/>
      <c r="E127" s="221" t="str">
        <f t="shared" si="1"/>
        <v/>
      </c>
      <c r="F127" s="214"/>
      <c r="G127" s="214"/>
      <c r="H127" s="215"/>
    </row>
    <row r="128" ht="15.75" customHeight="1">
      <c r="B128" s="190"/>
      <c r="C128" s="183"/>
      <c r="D128" s="233"/>
      <c r="E128" s="173" t="str">
        <f t="shared" si="1"/>
        <v/>
      </c>
      <c r="F128" s="210"/>
      <c r="G128" s="210"/>
      <c r="H128" s="211"/>
    </row>
    <row r="129" ht="15.75" customHeight="1">
      <c r="B129" s="225"/>
      <c r="C129" s="187"/>
      <c r="D129" s="232"/>
      <c r="E129" s="221" t="str">
        <f t="shared" si="1"/>
        <v/>
      </c>
      <c r="F129" s="214"/>
      <c r="G129" s="214"/>
      <c r="H129" s="215"/>
    </row>
    <row r="130" ht="15.75" customHeight="1">
      <c r="B130" s="190"/>
      <c r="C130" s="183"/>
      <c r="D130" s="233"/>
      <c r="E130" s="173" t="str">
        <f t="shared" si="1"/>
        <v/>
      </c>
      <c r="F130" s="210"/>
      <c r="G130" s="210"/>
      <c r="H130" s="211"/>
    </row>
    <row r="131" ht="15.75" customHeight="1">
      <c r="B131" s="225"/>
      <c r="C131" s="187"/>
      <c r="D131" s="232"/>
      <c r="E131" s="221" t="str">
        <f t="shared" si="1"/>
        <v/>
      </c>
      <c r="F131" s="214"/>
      <c r="G131" s="214"/>
      <c r="H131" s="215"/>
    </row>
    <row r="132" ht="15.75" customHeight="1">
      <c r="B132" s="190"/>
      <c r="C132" s="183"/>
      <c r="D132" s="233"/>
      <c r="E132" s="173" t="str">
        <f t="shared" si="1"/>
        <v/>
      </c>
      <c r="F132" s="210"/>
      <c r="G132" s="210"/>
      <c r="H132" s="211"/>
    </row>
    <row r="133" ht="15.75" customHeight="1">
      <c r="B133" s="225"/>
      <c r="C133" s="187"/>
      <c r="D133" s="232"/>
      <c r="E133" s="221" t="str">
        <f t="shared" si="1"/>
        <v/>
      </c>
      <c r="F133" s="214"/>
      <c r="G133" s="214"/>
      <c r="H133" s="215"/>
    </row>
    <row r="134" ht="15.75" customHeight="1">
      <c r="B134" s="190"/>
      <c r="C134" s="183"/>
      <c r="D134" s="233"/>
      <c r="E134" s="173" t="str">
        <f t="shared" si="1"/>
        <v/>
      </c>
      <c r="F134" s="210"/>
      <c r="G134" s="210"/>
      <c r="H134" s="211"/>
    </row>
    <row r="135" ht="15.75" customHeight="1">
      <c r="B135" s="225"/>
      <c r="C135" s="187"/>
      <c r="D135" s="232"/>
      <c r="E135" s="221" t="str">
        <f t="shared" si="1"/>
        <v/>
      </c>
      <c r="F135" s="214"/>
      <c r="G135" s="214"/>
      <c r="H135" s="215"/>
    </row>
    <row r="136" ht="15.75" customHeight="1">
      <c r="B136" s="190"/>
      <c r="C136" s="183"/>
      <c r="D136" s="233"/>
      <c r="E136" s="173" t="str">
        <f t="shared" si="1"/>
        <v/>
      </c>
      <c r="F136" s="210"/>
      <c r="G136" s="210"/>
      <c r="H136" s="211"/>
    </row>
    <row r="137" ht="15.75" customHeight="1">
      <c r="B137" s="225"/>
      <c r="C137" s="187"/>
      <c r="D137" s="232"/>
      <c r="E137" s="221" t="str">
        <f t="shared" si="1"/>
        <v/>
      </c>
      <c r="F137" s="214"/>
      <c r="G137" s="214"/>
      <c r="H137" s="215"/>
    </row>
    <row r="138" ht="15.75" customHeight="1">
      <c r="B138" s="190"/>
      <c r="C138" s="183"/>
      <c r="D138" s="233"/>
      <c r="E138" s="173" t="str">
        <f t="shared" si="1"/>
        <v/>
      </c>
      <c r="F138" s="210"/>
      <c r="G138" s="210"/>
      <c r="H138" s="211"/>
    </row>
    <row r="139" ht="15.75" customHeight="1">
      <c r="B139" s="225"/>
      <c r="C139" s="187"/>
      <c r="D139" s="232"/>
      <c r="E139" s="221" t="str">
        <f t="shared" si="1"/>
        <v/>
      </c>
      <c r="F139" s="214"/>
      <c r="G139" s="214"/>
      <c r="H139" s="215"/>
    </row>
    <row r="140" ht="15.75" customHeight="1">
      <c r="B140" s="190"/>
      <c r="C140" s="183"/>
      <c r="D140" s="233"/>
      <c r="E140" s="173" t="str">
        <f t="shared" si="1"/>
        <v/>
      </c>
      <c r="F140" s="210"/>
      <c r="G140" s="210"/>
      <c r="H140" s="211"/>
    </row>
    <row r="141" ht="15.75" customHeight="1">
      <c r="B141" s="225"/>
      <c r="C141" s="187"/>
      <c r="D141" s="232"/>
      <c r="E141" s="221" t="str">
        <f t="shared" si="1"/>
        <v/>
      </c>
      <c r="F141" s="214"/>
      <c r="G141" s="214"/>
      <c r="H141" s="215"/>
    </row>
    <row r="142" ht="15.75" customHeight="1">
      <c r="B142" s="190"/>
      <c r="C142" s="183"/>
      <c r="D142" s="233"/>
      <c r="E142" s="173" t="str">
        <f t="shared" si="1"/>
        <v/>
      </c>
      <c r="F142" s="210"/>
      <c r="G142" s="210"/>
      <c r="H142" s="211"/>
    </row>
    <row r="143" ht="15.75" customHeight="1">
      <c r="B143" s="225"/>
      <c r="C143" s="187"/>
      <c r="D143" s="232"/>
      <c r="E143" s="221" t="str">
        <f t="shared" si="1"/>
        <v/>
      </c>
      <c r="F143" s="214"/>
      <c r="G143" s="214"/>
      <c r="H143" s="215"/>
    </row>
    <row r="144" ht="15.75" customHeight="1">
      <c r="B144" s="190"/>
      <c r="C144" s="183"/>
      <c r="D144" s="233"/>
      <c r="E144" s="173" t="str">
        <f t="shared" si="1"/>
        <v/>
      </c>
      <c r="F144" s="210"/>
      <c r="G144" s="210"/>
      <c r="H144" s="211"/>
    </row>
    <row r="145" ht="15.75" customHeight="1">
      <c r="B145" s="225"/>
      <c r="C145" s="187"/>
      <c r="D145" s="232"/>
      <c r="E145" s="221" t="str">
        <f t="shared" si="1"/>
        <v/>
      </c>
      <c r="F145" s="214"/>
      <c r="G145" s="214"/>
      <c r="H145" s="215"/>
    </row>
    <row r="146" ht="15.75" customHeight="1">
      <c r="B146" s="190"/>
      <c r="C146" s="183"/>
      <c r="D146" s="233"/>
      <c r="E146" s="173" t="str">
        <f t="shared" si="1"/>
        <v/>
      </c>
      <c r="F146" s="210"/>
      <c r="G146" s="210"/>
      <c r="H146" s="211"/>
    </row>
    <row r="147" ht="15.75" customHeight="1">
      <c r="B147" s="225"/>
      <c r="C147" s="187"/>
      <c r="D147" s="232"/>
      <c r="E147" s="221" t="str">
        <f t="shared" si="1"/>
        <v/>
      </c>
      <c r="F147" s="214"/>
      <c r="G147" s="214"/>
      <c r="H147" s="215"/>
    </row>
    <row r="148" ht="15.75" customHeight="1">
      <c r="B148" s="190"/>
      <c r="C148" s="183"/>
      <c r="D148" s="233"/>
      <c r="E148" s="173" t="str">
        <f t="shared" si="1"/>
        <v/>
      </c>
      <c r="F148" s="210"/>
      <c r="G148" s="210"/>
      <c r="H148" s="211"/>
    </row>
    <row r="149" ht="15.75" customHeight="1">
      <c r="B149" s="225"/>
      <c r="C149" s="187"/>
      <c r="D149" s="232"/>
      <c r="E149" s="221" t="str">
        <f t="shared" si="1"/>
        <v/>
      </c>
      <c r="F149" s="214"/>
      <c r="G149" s="214"/>
      <c r="H149" s="215"/>
    </row>
    <row r="150" ht="15.75" customHeight="1">
      <c r="B150" s="190"/>
      <c r="C150" s="183"/>
      <c r="D150" s="233"/>
      <c r="E150" s="173" t="str">
        <f t="shared" si="1"/>
        <v/>
      </c>
      <c r="F150" s="210"/>
      <c r="G150" s="210"/>
      <c r="H150" s="211"/>
    </row>
    <row r="151" ht="15.75" customHeight="1">
      <c r="B151" s="225"/>
      <c r="C151" s="187"/>
      <c r="D151" s="232"/>
      <c r="E151" s="221" t="str">
        <f t="shared" si="1"/>
        <v/>
      </c>
      <c r="F151" s="214"/>
      <c r="G151" s="214"/>
      <c r="H151" s="215"/>
    </row>
    <row r="152" ht="15.75" customHeight="1">
      <c r="B152" s="190"/>
      <c r="C152" s="183"/>
      <c r="D152" s="233"/>
      <c r="E152" s="173" t="str">
        <f t="shared" si="1"/>
        <v/>
      </c>
      <c r="F152" s="210"/>
      <c r="G152" s="210"/>
      <c r="H152" s="211"/>
    </row>
    <row r="153" ht="15.75" customHeight="1">
      <c r="B153" s="225"/>
      <c r="C153" s="187"/>
      <c r="D153" s="232"/>
      <c r="E153" s="221" t="str">
        <f t="shared" si="1"/>
        <v/>
      </c>
      <c r="F153" s="214"/>
      <c r="G153" s="214"/>
      <c r="H153" s="215"/>
    </row>
    <row r="154" ht="15.75" customHeight="1">
      <c r="B154" s="190"/>
      <c r="C154" s="183"/>
      <c r="D154" s="233"/>
      <c r="E154" s="173" t="str">
        <f t="shared" si="1"/>
        <v/>
      </c>
      <c r="F154" s="210"/>
      <c r="G154" s="210"/>
      <c r="H154" s="211"/>
    </row>
    <row r="155" ht="15.75" customHeight="1">
      <c r="B155" s="225"/>
      <c r="C155" s="187"/>
      <c r="D155" s="232"/>
      <c r="E155" s="221" t="str">
        <f t="shared" si="1"/>
        <v/>
      </c>
      <c r="F155" s="214"/>
      <c r="G155" s="214"/>
      <c r="H155" s="215"/>
    </row>
    <row r="156" ht="15.75" customHeight="1">
      <c r="B156" s="190"/>
      <c r="C156" s="183"/>
      <c r="D156" s="233"/>
      <c r="E156" s="173" t="str">
        <f t="shared" si="1"/>
        <v/>
      </c>
      <c r="F156" s="210"/>
      <c r="G156" s="210"/>
      <c r="H156" s="211"/>
    </row>
    <row r="157" ht="15.75" customHeight="1">
      <c r="B157" s="225"/>
      <c r="C157" s="187"/>
      <c r="D157" s="232"/>
      <c r="E157" s="221" t="str">
        <f t="shared" si="1"/>
        <v/>
      </c>
      <c r="F157" s="214"/>
      <c r="G157" s="214"/>
      <c r="H157" s="215"/>
    </row>
    <row r="158" ht="15.75" customHeight="1">
      <c r="B158" s="190"/>
      <c r="C158" s="183"/>
      <c r="D158" s="233"/>
      <c r="E158" s="173" t="str">
        <f t="shared" si="1"/>
        <v/>
      </c>
      <c r="F158" s="210"/>
      <c r="G158" s="210"/>
      <c r="H158" s="211"/>
    </row>
    <row r="159" ht="15.75" customHeight="1">
      <c r="B159" s="225"/>
      <c r="C159" s="187"/>
      <c r="D159" s="232"/>
      <c r="E159" s="221" t="str">
        <f t="shared" si="1"/>
        <v/>
      </c>
      <c r="F159" s="214"/>
      <c r="G159" s="214"/>
      <c r="H159" s="215"/>
    </row>
    <row r="160" ht="15.75" customHeight="1">
      <c r="B160" s="190"/>
      <c r="C160" s="183"/>
      <c r="D160" s="233"/>
      <c r="E160" s="173" t="str">
        <f t="shared" si="1"/>
        <v/>
      </c>
      <c r="F160" s="210"/>
      <c r="G160" s="210"/>
      <c r="H160" s="211"/>
    </row>
    <row r="161" ht="15.75" customHeight="1">
      <c r="B161" s="225"/>
      <c r="C161" s="187"/>
      <c r="D161" s="232"/>
      <c r="E161" s="221" t="str">
        <f t="shared" si="1"/>
        <v/>
      </c>
      <c r="F161" s="214"/>
      <c r="G161" s="214"/>
      <c r="H161" s="215"/>
    </row>
    <row r="162" ht="15.75" customHeight="1">
      <c r="B162" s="190"/>
      <c r="C162" s="183"/>
      <c r="D162" s="233"/>
      <c r="E162" s="173" t="str">
        <f t="shared" si="1"/>
        <v/>
      </c>
      <c r="F162" s="210"/>
      <c r="G162" s="210"/>
      <c r="H162" s="211"/>
    </row>
    <row r="163" ht="15.75" customHeight="1">
      <c r="B163" s="225"/>
      <c r="C163" s="187"/>
      <c r="D163" s="232"/>
      <c r="E163" s="221" t="str">
        <f t="shared" si="1"/>
        <v/>
      </c>
      <c r="F163" s="214"/>
      <c r="G163" s="214"/>
      <c r="H163" s="215"/>
    </row>
    <row r="164" ht="15.75" customHeight="1">
      <c r="B164" s="190"/>
      <c r="C164" s="183"/>
      <c r="D164" s="233"/>
      <c r="E164" s="173" t="str">
        <f t="shared" si="1"/>
        <v/>
      </c>
      <c r="F164" s="210"/>
      <c r="G164" s="210"/>
      <c r="H164" s="211"/>
    </row>
    <row r="165" ht="15.75" customHeight="1">
      <c r="B165" s="225"/>
      <c r="C165" s="187"/>
      <c r="D165" s="232"/>
      <c r="E165" s="221" t="str">
        <f t="shared" si="1"/>
        <v/>
      </c>
      <c r="F165" s="214"/>
      <c r="G165" s="214"/>
      <c r="H165" s="215"/>
    </row>
    <row r="166" ht="15.75" customHeight="1">
      <c r="B166" s="190"/>
      <c r="C166" s="183"/>
      <c r="D166" s="233"/>
      <c r="E166" s="173" t="str">
        <f t="shared" si="1"/>
        <v/>
      </c>
      <c r="F166" s="210"/>
      <c r="G166" s="210"/>
      <c r="H166" s="211"/>
    </row>
    <row r="167" ht="15.75" customHeight="1">
      <c r="B167" s="225"/>
      <c r="C167" s="187"/>
      <c r="D167" s="232"/>
      <c r="E167" s="221" t="str">
        <f t="shared" si="1"/>
        <v/>
      </c>
      <c r="F167" s="214"/>
      <c r="G167" s="214"/>
      <c r="H167" s="215"/>
    </row>
    <row r="168" ht="15.75" customHeight="1">
      <c r="B168" s="190"/>
      <c r="C168" s="183"/>
      <c r="D168" s="233"/>
      <c r="E168" s="173" t="str">
        <f t="shared" si="1"/>
        <v/>
      </c>
      <c r="F168" s="210"/>
      <c r="G168" s="210"/>
      <c r="H168" s="211"/>
    </row>
    <row r="169" ht="15.75" customHeight="1">
      <c r="B169" s="225"/>
      <c r="C169" s="187"/>
      <c r="D169" s="232"/>
      <c r="E169" s="221" t="str">
        <f t="shared" si="1"/>
        <v/>
      </c>
      <c r="F169" s="214"/>
      <c r="G169" s="214"/>
      <c r="H169" s="215"/>
    </row>
    <row r="170" ht="15.75" customHeight="1">
      <c r="B170" s="190"/>
      <c r="C170" s="183"/>
      <c r="D170" s="233"/>
      <c r="E170" s="173" t="str">
        <f t="shared" si="1"/>
        <v/>
      </c>
      <c r="F170" s="210"/>
      <c r="G170" s="210"/>
      <c r="H170" s="211"/>
    </row>
    <row r="171" ht="15.75" customHeight="1">
      <c r="B171" s="225"/>
      <c r="C171" s="187"/>
      <c r="D171" s="232"/>
      <c r="E171" s="221" t="str">
        <f t="shared" si="1"/>
        <v/>
      </c>
      <c r="F171" s="214"/>
      <c r="G171" s="214"/>
      <c r="H171" s="215"/>
    </row>
    <row r="172" ht="15.75" customHeight="1">
      <c r="B172" s="190"/>
      <c r="C172" s="183"/>
      <c r="D172" s="233"/>
      <c r="E172" s="173" t="str">
        <f t="shared" si="1"/>
        <v/>
      </c>
      <c r="F172" s="210"/>
      <c r="G172" s="210"/>
      <c r="H172" s="211"/>
    </row>
    <row r="173" ht="15.75" customHeight="1">
      <c r="B173" s="225"/>
      <c r="C173" s="187"/>
      <c r="D173" s="232"/>
      <c r="E173" s="221" t="str">
        <f t="shared" si="1"/>
        <v/>
      </c>
      <c r="F173" s="214"/>
      <c r="G173" s="214"/>
      <c r="H173" s="215"/>
    </row>
    <row r="174" ht="15.75" customHeight="1">
      <c r="B174" s="190"/>
      <c r="C174" s="183"/>
      <c r="D174" s="233"/>
      <c r="E174" s="173" t="str">
        <f t="shared" si="1"/>
        <v/>
      </c>
      <c r="F174" s="210"/>
      <c r="G174" s="210"/>
      <c r="H174" s="211"/>
    </row>
    <row r="175" ht="15.75" customHeight="1">
      <c r="B175" s="225"/>
      <c r="C175" s="187"/>
      <c r="D175" s="232"/>
      <c r="E175" s="221" t="str">
        <f t="shared" si="1"/>
        <v/>
      </c>
      <c r="F175" s="214"/>
      <c r="G175" s="214"/>
      <c r="H175" s="215"/>
    </row>
    <row r="176" ht="15.75" customHeight="1">
      <c r="B176" s="190"/>
      <c r="C176" s="183"/>
      <c r="D176" s="233"/>
      <c r="E176" s="173" t="str">
        <f t="shared" si="1"/>
        <v/>
      </c>
      <c r="F176" s="210"/>
      <c r="G176" s="210"/>
      <c r="H176" s="211"/>
    </row>
    <row r="177" ht="15.75" customHeight="1">
      <c r="B177" s="225"/>
      <c r="C177" s="187"/>
      <c r="D177" s="232"/>
      <c r="E177" s="221" t="str">
        <f t="shared" si="1"/>
        <v/>
      </c>
      <c r="F177" s="214"/>
      <c r="G177" s="214"/>
      <c r="H177" s="215"/>
    </row>
    <row r="178" ht="15.75" customHeight="1">
      <c r="B178" s="190"/>
      <c r="C178" s="183"/>
      <c r="D178" s="233"/>
      <c r="E178" s="173" t="str">
        <f t="shared" si="1"/>
        <v/>
      </c>
      <c r="F178" s="210"/>
      <c r="G178" s="210"/>
      <c r="H178" s="211"/>
    </row>
    <row r="179" ht="15.75" customHeight="1">
      <c r="B179" s="225"/>
      <c r="C179" s="187"/>
      <c r="D179" s="232"/>
      <c r="E179" s="221" t="str">
        <f t="shared" si="1"/>
        <v/>
      </c>
      <c r="F179" s="214"/>
      <c r="G179" s="214"/>
      <c r="H179" s="215"/>
    </row>
    <row r="180" ht="15.75" customHeight="1">
      <c r="B180" s="190"/>
      <c r="C180" s="183"/>
      <c r="D180" s="233"/>
      <c r="E180" s="173" t="str">
        <f t="shared" si="1"/>
        <v/>
      </c>
      <c r="F180" s="210"/>
      <c r="G180" s="210"/>
      <c r="H180" s="211"/>
    </row>
    <row r="181" ht="15.75" customHeight="1">
      <c r="B181" s="225"/>
      <c r="C181" s="187"/>
      <c r="D181" s="232"/>
      <c r="E181" s="221" t="str">
        <f t="shared" si="1"/>
        <v/>
      </c>
      <c r="F181" s="214"/>
      <c r="G181" s="214"/>
      <c r="H181" s="215"/>
    </row>
    <row r="182" ht="15.75" customHeight="1">
      <c r="B182" s="190"/>
      <c r="C182" s="183"/>
      <c r="D182" s="233"/>
      <c r="E182" s="173" t="str">
        <f t="shared" si="1"/>
        <v/>
      </c>
      <c r="F182" s="210"/>
      <c r="G182" s="210"/>
      <c r="H182" s="211"/>
    </row>
    <row r="183" ht="15.75" customHeight="1">
      <c r="B183" s="225"/>
      <c r="C183" s="187"/>
      <c r="D183" s="232"/>
      <c r="E183" s="221" t="str">
        <f t="shared" si="1"/>
        <v/>
      </c>
      <c r="F183" s="214"/>
      <c r="G183" s="214"/>
      <c r="H183" s="215"/>
    </row>
    <row r="184" ht="15.75" customHeight="1">
      <c r="B184" s="190"/>
      <c r="C184" s="183"/>
      <c r="D184" s="233"/>
      <c r="E184" s="173" t="str">
        <f t="shared" si="1"/>
        <v/>
      </c>
      <c r="F184" s="210"/>
      <c r="G184" s="210"/>
      <c r="H184" s="211"/>
    </row>
    <row r="185" ht="15.75" customHeight="1">
      <c r="B185" s="225"/>
      <c r="C185" s="187"/>
      <c r="D185" s="232"/>
      <c r="E185" s="221" t="str">
        <f t="shared" si="1"/>
        <v/>
      </c>
      <c r="F185" s="214"/>
      <c r="G185" s="214"/>
      <c r="H185" s="215"/>
    </row>
    <row r="186" ht="15.75" customHeight="1">
      <c r="B186" s="190"/>
      <c r="C186" s="183"/>
      <c r="D186" s="233"/>
      <c r="E186" s="173" t="str">
        <f t="shared" si="1"/>
        <v/>
      </c>
      <c r="F186" s="210"/>
      <c r="G186" s="210"/>
      <c r="H186" s="211"/>
    </row>
    <row r="187" ht="15.75" customHeight="1">
      <c r="B187" s="225"/>
      <c r="C187" s="187"/>
      <c r="D187" s="232"/>
      <c r="E187" s="221" t="str">
        <f t="shared" si="1"/>
        <v/>
      </c>
      <c r="F187" s="214"/>
      <c r="G187" s="214"/>
      <c r="H187" s="215"/>
    </row>
    <row r="188" ht="15.75" customHeight="1">
      <c r="B188" s="190"/>
      <c r="C188" s="183"/>
      <c r="D188" s="233"/>
      <c r="E188" s="173" t="str">
        <f t="shared" si="1"/>
        <v/>
      </c>
      <c r="F188" s="210"/>
      <c r="G188" s="210"/>
      <c r="H188" s="211"/>
    </row>
    <row r="189" ht="15.75" customHeight="1">
      <c r="B189" s="225"/>
      <c r="C189" s="187"/>
      <c r="D189" s="232"/>
      <c r="E189" s="221" t="str">
        <f t="shared" si="1"/>
        <v/>
      </c>
      <c r="F189" s="214"/>
      <c r="G189" s="214"/>
      <c r="H189" s="215"/>
    </row>
    <row r="190" ht="15.75" customHeight="1">
      <c r="B190" s="190"/>
      <c r="C190" s="183"/>
      <c r="D190" s="233"/>
      <c r="E190" s="173" t="str">
        <f t="shared" si="1"/>
        <v/>
      </c>
      <c r="F190" s="210"/>
      <c r="G190" s="210"/>
      <c r="H190" s="211"/>
    </row>
    <row r="191" ht="15.75" customHeight="1">
      <c r="B191" s="225"/>
      <c r="C191" s="187"/>
      <c r="D191" s="232"/>
      <c r="E191" s="221" t="str">
        <f t="shared" si="1"/>
        <v/>
      </c>
      <c r="F191" s="214"/>
      <c r="G191" s="214"/>
      <c r="H191" s="215"/>
    </row>
    <row r="192" ht="15.75" customHeight="1">
      <c r="B192" s="190"/>
      <c r="C192" s="183"/>
      <c r="D192" s="233"/>
      <c r="E192" s="173" t="str">
        <f t="shared" si="1"/>
        <v/>
      </c>
      <c r="F192" s="210"/>
      <c r="G192" s="210"/>
      <c r="H192" s="211"/>
    </row>
    <row r="193" ht="15.75" customHeight="1">
      <c r="B193" s="225"/>
      <c r="C193" s="187"/>
      <c r="D193" s="232"/>
      <c r="E193" s="221" t="str">
        <f t="shared" si="1"/>
        <v/>
      </c>
      <c r="F193" s="214"/>
      <c r="G193" s="214"/>
      <c r="H193" s="215"/>
    </row>
    <row r="194" ht="15.75" customHeight="1">
      <c r="B194" s="190"/>
      <c r="C194" s="183"/>
      <c r="D194" s="233"/>
      <c r="E194" s="173" t="str">
        <f t="shared" si="1"/>
        <v/>
      </c>
      <c r="F194" s="210"/>
      <c r="G194" s="210"/>
      <c r="H194" s="211"/>
    </row>
    <row r="195" ht="15.75" customHeight="1">
      <c r="B195" s="225"/>
      <c r="C195" s="187"/>
      <c r="D195" s="232"/>
      <c r="E195" s="221" t="str">
        <f t="shared" si="1"/>
        <v/>
      </c>
      <c r="F195" s="214"/>
      <c r="G195" s="214"/>
      <c r="H195" s="215"/>
    </row>
    <row r="196" ht="15.75" customHeight="1">
      <c r="B196" s="190"/>
      <c r="C196" s="183"/>
      <c r="D196" s="233"/>
      <c r="E196" s="173" t="str">
        <f t="shared" si="1"/>
        <v/>
      </c>
      <c r="F196" s="210"/>
      <c r="G196" s="210"/>
      <c r="H196" s="211"/>
    </row>
    <row r="197" ht="15.75" customHeight="1">
      <c r="B197" s="225"/>
      <c r="C197" s="187"/>
      <c r="D197" s="232"/>
      <c r="E197" s="221" t="str">
        <f t="shared" si="1"/>
        <v/>
      </c>
      <c r="F197" s="214"/>
      <c r="G197" s="214"/>
      <c r="H197" s="215"/>
    </row>
    <row r="198" ht="15.75" customHeight="1">
      <c r="B198" s="190"/>
      <c r="C198" s="183"/>
      <c r="D198" s="233"/>
      <c r="E198" s="173" t="str">
        <f t="shared" si="1"/>
        <v/>
      </c>
      <c r="F198" s="210"/>
      <c r="G198" s="210"/>
      <c r="H198" s="211"/>
    </row>
    <row r="199" ht="15.75" customHeight="1">
      <c r="B199" s="225"/>
      <c r="C199" s="187"/>
      <c r="D199" s="232"/>
      <c r="E199" s="221" t="str">
        <f t="shared" si="1"/>
        <v/>
      </c>
      <c r="F199" s="214"/>
      <c r="G199" s="214"/>
      <c r="H199" s="215"/>
    </row>
    <row r="200" ht="15.75" customHeight="1">
      <c r="B200" s="190"/>
      <c r="C200" s="183"/>
      <c r="D200" s="233"/>
      <c r="E200" s="173" t="str">
        <f t="shared" si="1"/>
        <v/>
      </c>
      <c r="F200" s="210"/>
      <c r="G200" s="210"/>
      <c r="H200" s="211"/>
    </row>
    <row r="201" ht="15.75" customHeight="1">
      <c r="B201" s="225"/>
      <c r="C201" s="187"/>
      <c r="D201" s="232"/>
      <c r="E201" s="221" t="str">
        <f t="shared" si="1"/>
        <v/>
      </c>
      <c r="F201" s="214"/>
      <c r="G201" s="214"/>
      <c r="H201" s="215"/>
    </row>
    <row r="202" ht="15.75" customHeight="1">
      <c r="B202" s="190"/>
      <c r="C202" s="183"/>
      <c r="D202" s="233"/>
      <c r="E202" s="173" t="str">
        <f t="shared" si="1"/>
        <v/>
      </c>
      <c r="F202" s="210"/>
      <c r="G202" s="210"/>
      <c r="H202" s="211"/>
    </row>
    <row r="203" ht="15.75" customHeight="1">
      <c r="B203" s="225"/>
      <c r="C203" s="187"/>
      <c r="D203" s="232"/>
      <c r="E203" s="221" t="str">
        <f t="shared" si="1"/>
        <v/>
      </c>
      <c r="F203" s="214"/>
      <c r="G203" s="214"/>
      <c r="H203" s="215"/>
    </row>
    <row r="204" ht="15.75" customHeight="1">
      <c r="B204" s="190"/>
      <c r="C204" s="183"/>
      <c r="D204" s="233"/>
      <c r="E204" s="173" t="str">
        <f t="shared" si="1"/>
        <v/>
      </c>
      <c r="F204" s="210"/>
      <c r="G204" s="210"/>
      <c r="H204" s="211"/>
    </row>
    <row r="205" ht="15.75" customHeight="1">
      <c r="B205" s="225"/>
      <c r="C205" s="187"/>
      <c r="D205" s="232"/>
      <c r="E205" s="221" t="str">
        <f t="shared" si="1"/>
        <v/>
      </c>
      <c r="F205" s="214"/>
      <c r="G205" s="214"/>
      <c r="H205" s="215"/>
    </row>
    <row r="206" ht="15.75" customHeight="1">
      <c r="B206" s="190"/>
      <c r="C206" s="183"/>
      <c r="D206" s="233"/>
      <c r="E206" s="173" t="str">
        <f t="shared" si="1"/>
        <v/>
      </c>
      <c r="F206" s="210"/>
      <c r="G206" s="210"/>
      <c r="H206" s="211"/>
    </row>
    <row r="207" ht="15.75" customHeight="1">
      <c r="B207" s="225"/>
      <c r="C207" s="187"/>
      <c r="D207" s="232"/>
      <c r="E207" s="221" t="str">
        <f t="shared" si="1"/>
        <v/>
      </c>
      <c r="F207" s="214"/>
      <c r="G207" s="214"/>
      <c r="H207" s="215"/>
    </row>
    <row r="208" ht="15.75" customHeight="1">
      <c r="B208" s="190"/>
      <c r="C208" s="183"/>
      <c r="D208" s="233"/>
      <c r="E208" s="173" t="str">
        <f t="shared" si="1"/>
        <v/>
      </c>
      <c r="F208" s="210"/>
      <c r="G208" s="210"/>
      <c r="H208" s="211"/>
    </row>
    <row r="209" ht="15.75" customHeight="1">
      <c r="B209" s="225"/>
      <c r="C209" s="187"/>
      <c r="D209" s="232"/>
      <c r="E209" s="221" t="str">
        <f t="shared" si="1"/>
        <v/>
      </c>
      <c r="F209" s="214"/>
      <c r="G209" s="214"/>
      <c r="H209" s="215"/>
    </row>
    <row r="210" ht="15.75" customHeight="1">
      <c r="B210" s="190"/>
      <c r="C210" s="183"/>
      <c r="D210" s="233"/>
      <c r="E210" s="173" t="str">
        <f t="shared" si="1"/>
        <v/>
      </c>
      <c r="F210" s="210"/>
      <c r="G210" s="210"/>
      <c r="H210" s="211"/>
    </row>
    <row r="211" ht="15.75" customHeight="1">
      <c r="B211" s="225"/>
      <c r="C211" s="187"/>
      <c r="D211" s="232"/>
      <c r="E211" s="221" t="str">
        <f t="shared" si="1"/>
        <v/>
      </c>
      <c r="F211" s="214"/>
      <c r="G211" s="214"/>
      <c r="H211" s="215"/>
    </row>
    <row r="212" ht="15.75" customHeight="1">
      <c r="B212" s="190"/>
      <c r="C212" s="183"/>
      <c r="D212" s="233"/>
      <c r="E212" s="173" t="str">
        <f t="shared" si="1"/>
        <v/>
      </c>
      <c r="F212" s="210"/>
      <c r="G212" s="210"/>
      <c r="H212" s="211"/>
    </row>
    <row r="213" ht="15.75" customHeight="1">
      <c r="B213" s="225"/>
      <c r="C213" s="187"/>
      <c r="D213" s="232"/>
      <c r="E213" s="221" t="str">
        <f t="shared" si="1"/>
        <v/>
      </c>
      <c r="F213" s="214"/>
      <c r="G213" s="214"/>
      <c r="H213" s="215"/>
    </row>
    <row r="214" ht="15.75" customHeight="1">
      <c r="B214" s="190"/>
      <c r="C214" s="183"/>
      <c r="D214" s="233"/>
      <c r="E214" s="173" t="str">
        <f t="shared" si="1"/>
        <v/>
      </c>
      <c r="F214" s="210"/>
      <c r="G214" s="210"/>
      <c r="H214" s="211"/>
    </row>
    <row r="215" ht="15.75" customHeight="1">
      <c r="B215" s="225"/>
      <c r="C215" s="187"/>
      <c r="D215" s="232"/>
      <c r="E215" s="221" t="str">
        <f t="shared" si="1"/>
        <v/>
      </c>
      <c r="F215" s="214"/>
      <c r="G215" s="214"/>
      <c r="H215" s="215"/>
    </row>
    <row r="216" ht="15.75" customHeight="1">
      <c r="B216" s="190"/>
      <c r="C216" s="183"/>
      <c r="D216" s="233"/>
      <c r="E216" s="173" t="str">
        <f t="shared" si="1"/>
        <v/>
      </c>
      <c r="F216" s="210"/>
      <c r="G216" s="210"/>
      <c r="H216" s="211"/>
    </row>
    <row r="217" ht="15.75" customHeight="1">
      <c r="B217" s="225"/>
      <c r="C217" s="187"/>
      <c r="D217" s="232"/>
      <c r="E217" s="221" t="str">
        <f t="shared" si="1"/>
        <v/>
      </c>
      <c r="F217" s="214"/>
      <c r="G217" s="214"/>
      <c r="H217" s="215"/>
    </row>
    <row r="218" ht="15.75" customHeight="1">
      <c r="B218" s="190"/>
      <c r="C218" s="183"/>
      <c r="D218" s="233"/>
      <c r="E218" s="173" t="str">
        <f t="shared" si="1"/>
        <v/>
      </c>
      <c r="F218" s="210"/>
      <c r="G218" s="210"/>
      <c r="H218" s="211"/>
    </row>
    <row r="219" ht="15.75" customHeight="1">
      <c r="B219" s="225"/>
      <c r="C219" s="187"/>
      <c r="D219" s="232"/>
      <c r="E219" s="221" t="str">
        <f t="shared" si="1"/>
        <v/>
      </c>
      <c r="F219" s="214"/>
      <c r="G219" s="214"/>
      <c r="H219" s="215"/>
    </row>
    <row r="220" ht="15.75" customHeight="1">
      <c r="B220" s="190"/>
      <c r="C220" s="183"/>
      <c r="D220" s="233"/>
      <c r="E220" s="173" t="str">
        <f t="shared" si="1"/>
        <v/>
      </c>
      <c r="F220" s="210"/>
      <c r="G220" s="210"/>
      <c r="H220" s="211"/>
    </row>
    <row r="221" ht="15.75" customHeight="1">
      <c r="B221" s="225"/>
      <c r="C221" s="187"/>
      <c r="D221" s="232"/>
      <c r="E221" s="221" t="str">
        <f t="shared" si="1"/>
        <v/>
      </c>
      <c r="F221" s="214"/>
      <c r="G221" s="214"/>
      <c r="H221" s="215"/>
    </row>
    <row r="222" ht="15.75" customHeight="1">
      <c r="B222" s="190"/>
      <c r="C222" s="183"/>
      <c r="D222" s="233"/>
      <c r="E222" s="173" t="str">
        <f t="shared" si="1"/>
        <v/>
      </c>
      <c r="F222" s="210"/>
      <c r="G222" s="210"/>
      <c r="H222" s="211"/>
    </row>
    <row r="223" ht="15.75" customHeight="1">
      <c r="B223" s="225"/>
      <c r="C223" s="187"/>
      <c r="D223" s="232"/>
      <c r="E223" s="221" t="str">
        <f t="shared" si="1"/>
        <v/>
      </c>
      <c r="F223" s="214"/>
      <c r="G223" s="214"/>
      <c r="H223" s="215"/>
    </row>
    <row r="224" ht="15.75" customHeight="1">
      <c r="B224" s="190"/>
      <c r="C224" s="183"/>
      <c r="D224" s="233"/>
      <c r="E224" s="173" t="str">
        <f t="shared" si="1"/>
        <v/>
      </c>
      <c r="F224" s="210"/>
      <c r="G224" s="210"/>
      <c r="H224" s="211"/>
    </row>
    <row r="225" ht="15.75" customHeight="1">
      <c r="B225" s="225"/>
      <c r="C225" s="187"/>
      <c r="D225" s="232"/>
      <c r="E225" s="221" t="str">
        <f t="shared" si="1"/>
        <v/>
      </c>
      <c r="F225" s="214"/>
      <c r="G225" s="214"/>
      <c r="H225" s="215"/>
    </row>
    <row r="226" ht="15.75" customHeight="1">
      <c r="B226" s="190"/>
      <c r="C226" s="183"/>
      <c r="D226" s="233"/>
      <c r="E226" s="173" t="str">
        <f t="shared" si="1"/>
        <v/>
      </c>
      <c r="F226" s="210"/>
      <c r="G226" s="210"/>
      <c r="H226" s="211"/>
    </row>
    <row r="227" ht="15.75" customHeight="1">
      <c r="B227" s="225"/>
      <c r="C227" s="187"/>
      <c r="D227" s="232"/>
      <c r="E227" s="221" t="str">
        <f t="shared" si="1"/>
        <v/>
      </c>
      <c r="F227" s="214"/>
      <c r="G227" s="214"/>
      <c r="H227" s="215"/>
    </row>
    <row r="228" ht="15.75" customHeight="1">
      <c r="B228" s="190"/>
      <c r="C228" s="183"/>
      <c r="D228" s="233"/>
      <c r="E228" s="173" t="str">
        <f t="shared" si="1"/>
        <v/>
      </c>
      <c r="F228" s="210"/>
      <c r="G228" s="210"/>
      <c r="H228" s="211"/>
    </row>
    <row r="229" ht="15.75" customHeight="1">
      <c r="B229" s="225"/>
      <c r="C229" s="187"/>
      <c r="D229" s="232"/>
      <c r="E229" s="221" t="str">
        <f t="shared" si="1"/>
        <v/>
      </c>
      <c r="F229" s="214"/>
      <c r="G229" s="214"/>
      <c r="H229" s="215"/>
    </row>
    <row r="230" ht="15.75" customHeight="1">
      <c r="B230" s="190"/>
      <c r="C230" s="183"/>
      <c r="D230" s="233"/>
      <c r="E230" s="173" t="str">
        <f t="shared" si="1"/>
        <v/>
      </c>
      <c r="F230" s="210"/>
      <c r="G230" s="210"/>
      <c r="H230" s="211"/>
    </row>
    <row r="231" ht="15.75" customHeight="1">
      <c r="B231" s="225"/>
      <c r="C231" s="187"/>
      <c r="D231" s="232"/>
      <c r="E231" s="221" t="str">
        <f t="shared" si="1"/>
        <v/>
      </c>
      <c r="F231" s="214"/>
      <c r="G231" s="214"/>
      <c r="H231" s="215"/>
    </row>
    <row r="232" ht="15.75" customHeight="1">
      <c r="B232" s="190"/>
      <c r="C232" s="183"/>
      <c r="D232" s="233"/>
      <c r="E232" s="173" t="str">
        <f t="shared" si="1"/>
        <v/>
      </c>
      <c r="F232" s="210"/>
      <c r="G232" s="210"/>
      <c r="H232" s="211"/>
    </row>
    <row r="233" ht="15.75" customHeight="1">
      <c r="B233" s="225"/>
      <c r="C233" s="187"/>
      <c r="D233" s="232"/>
      <c r="E233" s="221" t="str">
        <f t="shared" si="1"/>
        <v/>
      </c>
      <c r="F233" s="214"/>
      <c r="G233" s="214"/>
      <c r="H233" s="215"/>
    </row>
    <row r="234" ht="15.75" customHeight="1">
      <c r="B234" s="190"/>
      <c r="C234" s="183"/>
      <c r="D234" s="233"/>
      <c r="E234" s="173" t="str">
        <f t="shared" si="1"/>
        <v/>
      </c>
      <c r="F234" s="210"/>
      <c r="G234" s="210"/>
      <c r="H234" s="211"/>
    </row>
    <row r="235" ht="15.75" customHeight="1">
      <c r="B235" s="225"/>
      <c r="C235" s="187"/>
      <c r="D235" s="232"/>
      <c r="E235" s="221" t="str">
        <f t="shared" si="1"/>
        <v/>
      </c>
      <c r="F235" s="214"/>
      <c r="G235" s="214"/>
      <c r="H235" s="215"/>
    </row>
    <row r="236" ht="15.75" customHeight="1">
      <c r="B236" s="190"/>
      <c r="C236" s="183"/>
      <c r="D236" s="233"/>
      <c r="E236" s="173" t="str">
        <f t="shared" si="1"/>
        <v/>
      </c>
      <c r="F236" s="210"/>
      <c r="G236" s="210"/>
      <c r="H236" s="211"/>
    </row>
    <row r="237" ht="15.75" customHeight="1">
      <c r="B237" s="225"/>
      <c r="C237" s="187"/>
      <c r="D237" s="232"/>
      <c r="E237" s="221" t="str">
        <f t="shared" si="1"/>
        <v/>
      </c>
      <c r="F237" s="214"/>
      <c r="G237" s="214"/>
      <c r="H237" s="215"/>
    </row>
    <row r="238" ht="15.75" customHeight="1">
      <c r="B238" s="190"/>
      <c r="C238" s="183"/>
      <c r="D238" s="233"/>
      <c r="E238" s="173" t="str">
        <f t="shared" si="1"/>
        <v/>
      </c>
      <c r="F238" s="210"/>
      <c r="G238" s="210"/>
      <c r="H238" s="211"/>
    </row>
    <row r="239" ht="15.75" customHeight="1">
      <c r="B239" s="225"/>
      <c r="C239" s="187"/>
      <c r="D239" s="232"/>
      <c r="E239" s="221" t="str">
        <f t="shared" si="1"/>
        <v/>
      </c>
      <c r="F239" s="214"/>
      <c r="G239" s="214"/>
      <c r="H239" s="215"/>
    </row>
    <row r="240" ht="15.75" customHeight="1">
      <c r="B240" s="190"/>
      <c r="C240" s="183"/>
      <c r="D240" s="233"/>
      <c r="E240" s="173" t="str">
        <f t="shared" si="1"/>
        <v/>
      </c>
      <c r="F240" s="210"/>
      <c r="G240" s="210"/>
      <c r="H240" s="211"/>
    </row>
    <row r="241" ht="15.75" customHeight="1">
      <c r="B241" s="225"/>
      <c r="C241" s="187"/>
      <c r="D241" s="232"/>
      <c r="E241" s="221" t="str">
        <f t="shared" si="1"/>
        <v/>
      </c>
      <c r="F241" s="214"/>
      <c r="G241" s="214"/>
      <c r="H241" s="215"/>
    </row>
    <row r="242" ht="15.75" customHeight="1">
      <c r="B242" s="190"/>
      <c r="C242" s="183"/>
      <c r="D242" s="233"/>
      <c r="E242" s="173" t="str">
        <f t="shared" si="1"/>
        <v/>
      </c>
      <c r="F242" s="210"/>
      <c r="G242" s="210"/>
      <c r="H242" s="211"/>
    </row>
    <row r="243" ht="15.75" customHeight="1">
      <c r="B243" s="225"/>
      <c r="C243" s="187"/>
      <c r="D243" s="232"/>
      <c r="E243" s="221" t="str">
        <f t="shared" si="1"/>
        <v/>
      </c>
      <c r="F243" s="214"/>
      <c r="G243" s="214"/>
      <c r="H243" s="215"/>
    </row>
    <row r="244" ht="15.75" customHeight="1">
      <c r="B244" s="190"/>
      <c r="C244" s="183"/>
      <c r="D244" s="233"/>
      <c r="E244" s="173" t="str">
        <f t="shared" si="1"/>
        <v/>
      </c>
      <c r="F244" s="210"/>
      <c r="G244" s="210"/>
      <c r="H244" s="211"/>
    </row>
    <row r="245" ht="15.75" customHeight="1">
      <c r="B245" s="225"/>
      <c r="C245" s="187"/>
      <c r="D245" s="232"/>
      <c r="E245" s="221" t="str">
        <f t="shared" si="1"/>
        <v/>
      </c>
      <c r="F245" s="214"/>
      <c r="G245" s="214"/>
      <c r="H245" s="215"/>
    </row>
    <row r="246" ht="15.75" customHeight="1">
      <c r="B246" s="190"/>
      <c r="C246" s="183"/>
      <c r="D246" s="233"/>
      <c r="E246" s="173" t="str">
        <f t="shared" si="1"/>
        <v/>
      </c>
      <c r="F246" s="210"/>
      <c r="G246" s="210"/>
      <c r="H246" s="211"/>
    </row>
    <row r="247" ht="15.75" customHeight="1">
      <c r="B247" s="225"/>
      <c r="C247" s="187"/>
      <c r="D247" s="232"/>
      <c r="E247" s="221" t="str">
        <f t="shared" si="1"/>
        <v/>
      </c>
      <c r="F247" s="214"/>
      <c r="G247" s="214"/>
      <c r="H247" s="215"/>
    </row>
    <row r="248" ht="15.75" customHeight="1">
      <c r="B248" s="190"/>
      <c r="C248" s="183"/>
      <c r="D248" s="233"/>
      <c r="E248" s="173" t="str">
        <f t="shared" si="1"/>
        <v/>
      </c>
      <c r="F248" s="210"/>
      <c r="G248" s="210"/>
      <c r="H248" s="211"/>
    </row>
    <row r="249" ht="15.75" customHeight="1">
      <c r="B249" s="225"/>
      <c r="C249" s="187"/>
      <c r="D249" s="232"/>
      <c r="E249" s="221" t="str">
        <f t="shared" si="1"/>
        <v/>
      </c>
      <c r="F249" s="214"/>
      <c r="G249" s="214"/>
      <c r="H249" s="215"/>
    </row>
    <row r="250" ht="15.75" customHeight="1">
      <c r="B250" s="190"/>
      <c r="C250" s="183"/>
      <c r="D250" s="233"/>
      <c r="E250" s="173" t="str">
        <f t="shared" si="1"/>
        <v/>
      </c>
      <c r="F250" s="210"/>
      <c r="G250" s="210"/>
      <c r="H250" s="211"/>
    </row>
    <row r="251" ht="15.75" customHeight="1">
      <c r="B251" s="225"/>
      <c r="C251" s="187"/>
      <c r="D251" s="232"/>
      <c r="E251" s="221" t="str">
        <f t="shared" si="1"/>
        <v/>
      </c>
      <c r="F251" s="214"/>
      <c r="G251" s="214"/>
      <c r="H251" s="215"/>
    </row>
    <row r="252" ht="15.75" customHeight="1">
      <c r="B252" s="190"/>
      <c r="C252" s="183"/>
      <c r="D252" s="233"/>
      <c r="E252" s="173" t="str">
        <f t="shared" si="1"/>
        <v/>
      </c>
      <c r="F252" s="210"/>
      <c r="G252" s="210"/>
      <c r="H252" s="211"/>
    </row>
    <row r="253" ht="15.75" customHeight="1">
      <c r="B253" s="225"/>
      <c r="C253" s="187"/>
      <c r="D253" s="232"/>
      <c r="E253" s="221" t="str">
        <f t="shared" si="1"/>
        <v/>
      </c>
      <c r="F253" s="214"/>
      <c r="G253" s="214"/>
      <c r="H253" s="215"/>
    </row>
    <row r="254" ht="15.75" customHeight="1">
      <c r="B254" s="190"/>
      <c r="C254" s="183"/>
      <c r="D254" s="233"/>
      <c r="E254" s="173" t="str">
        <f t="shared" si="1"/>
        <v/>
      </c>
      <c r="F254" s="210"/>
      <c r="G254" s="210"/>
      <c r="H254" s="211"/>
    </row>
    <row r="255" ht="15.75" customHeight="1">
      <c r="B255" s="225"/>
      <c r="C255" s="187"/>
      <c r="D255" s="232"/>
      <c r="E255" s="221" t="str">
        <f t="shared" si="1"/>
        <v/>
      </c>
      <c r="F255" s="214"/>
      <c r="G255" s="214"/>
      <c r="H255" s="215"/>
    </row>
    <row r="256" ht="15.75" customHeight="1">
      <c r="B256" s="190"/>
      <c r="C256" s="183"/>
      <c r="D256" s="233"/>
      <c r="E256" s="173" t="str">
        <f t="shared" si="1"/>
        <v/>
      </c>
      <c r="F256" s="210"/>
      <c r="G256" s="210"/>
      <c r="H256" s="211"/>
    </row>
    <row r="257" ht="15.75" customHeight="1">
      <c r="B257" s="225"/>
      <c r="C257" s="187"/>
      <c r="D257" s="232"/>
      <c r="E257" s="221" t="str">
        <f t="shared" si="1"/>
        <v/>
      </c>
      <c r="F257" s="214"/>
      <c r="G257" s="214"/>
      <c r="H257" s="215"/>
    </row>
    <row r="258" ht="15.75" customHeight="1">
      <c r="B258" s="190"/>
      <c r="C258" s="183"/>
      <c r="D258" s="233"/>
      <c r="E258" s="173" t="str">
        <f t="shared" si="1"/>
        <v/>
      </c>
      <c r="F258" s="210"/>
      <c r="G258" s="210"/>
      <c r="H258" s="211"/>
    </row>
    <row r="259" ht="15.75" customHeight="1">
      <c r="B259" s="225"/>
      <c r="C259" s="187"/>
      <c r="D259" s="232"/>
      <c r="E259" s="221" t="str">
        <f t="shared" si="1"/>
        <v/>
      </c>
      <c r="F259" s="214"/>
      <c r="G259" s="214"/>
      <c r="H259" s="215"/>
    </row>
    <row r="260" ht="15.75" customHeight="1">
      <c r="B260" s="190"/>
      <c r="C260" s="183"/>
      <c r="D260" s="233"/>
      <c r="E260" s="173" t="str">
        <f t="shared" si="1"/>
        <v/>
      </c>
      <c r="F260" s="210"/>
      <c r="G260" s="210"/>
      <c r="H260" s="211"/>
    </row>
    <row r="261" ht="15.75" customHeight="1">
      <c r="B261" s="225"/>
      <c r="C261" s="187"/>
      <c r="D261" s="232"/>
      <c r="E261" s="221" t="str">
        <f t="shared" si="1"/>
        <v/>
      </c>
      <c r="F261" s="214"/>
      <c r="G261" s="214"/>
      <c r="H261" s="215"/>
    </row>
    <row r="262" ht="15.75" customHeight="1">
      <c r="B262" s="190"/>
      <c r="C262" s="183"/>
      <c r="D262" s="233"/>
      <c r="E262" s="173" t="str">
        <f t="shared" si="1"/>
        <v/>
      </c>
      <c r="F262" s="210"/>
      <c r="G262" s="210"/>
      <c r="H262" s="211"/>
    </row>
    <row r="263" ht="15.75" customHeight="1">
      <c r="B263" s="225"/>
      <c r="C263" s="187"/>
      <c r="D263" s="232"/>
      <c r="E263" s="221" t="str">
        <f t="shared" si="1"/>
        <v/>
      </c>
      <c r="F263" s="214"/>
      <c r="G263" s="214"/>
      <c r="H263" s="215"/>
    </row>
    <row r="264" ht="15.75" customHeight="1">
      <c r="B264" s="190"/>
      <c r="C264" s="183"/>
      <c r="D264" s="233"/>
      <c r="E264" s="173" t="str">
        <f t="shared" si="1"/>
        <v/>
      </c>
      <c r="F264" s="210"/>
      <c r="G264" s="210"/>
      <c r="H264" s="211"/>
    </row>
    <row r="265" ht="15.75" customHeight="1">
      <c r="B265" s="225"/>
      <c r="C265" s="187"/>
      <c r="D265" s="232"/>
      <c r="E265" s="221" t="str">
        <f t="shared" si="1"/>
        <v/>
      </c>
      <c r="F265" s="214"/>
      <c r="G265" s="214"/>
      <c r="H265" s="215"/>
    </row>
    <row r="266" ht="15.75" customHeight="1">
      <c r="B266" s="190"/>
      <c r="C266" s="183"/>
      <c r="D266" s="233"/>
      <c r="E266" s="173" t="str">
        <f t="shared" si="1"/>
        <v/>
      </c>
      <c r="F266" s="210"/>
      <c r="G266" s="210"/>
      <c r="H266" s="211"/>
    </row>
    <row r="267" ht="15.75" customHeight="1">
      <c r="B267" s="225"/>
      <c r="C267" s="187"/>
      <c r="D267" s="232"/>
      <c r="E267" s="221" t="str">
        <f t="shared" si="1"/>
        <v/>
      </c>
      <c r="F267" s="214"/>
      <c r="G267" s="214"/>
      <c r="H267" s="215"/>
    </row>
    <row r="268" ht="15.75" customHeight="1">
      <c r="B268" s="190"/>
      <c r="C268" s="183"/>
      <c r="D268" s="233"/>
      <c r="E268" s="173" t="str">
        <f t="shared" si="1"/>
        <v/>
      </c>
      <c r="F268" s="210"/>
      <c r="G268" s="210"/>
      <c r="H268" s="211"/>
    </row>
    <row r="269" ht="15.75" customHeight="1">
      <c r="B269" s="225"/>
      <c r="C269" s="187"/>
      <c r="D269" s="232"/>
      <c r="E269" s="221" t="str">
        <f t="shared" si="1"/>
        <v/>
      </c>
      <c r="F269" s="214"/>
      <c r="G269" s="214"/>
      <c r="H269" s="215"/>
    </row>
    <row r="270" ht="15.75" customHeight="1">
      <c r="B270" s="190"/>
      <c r="C270" s="183"/>
      <c r="D270" s="233"/>
      <c r="E270" s="173" t="str">
        <f t="shared" si="1"/>
        <v/>
      </c>
      <c r="F270" s="210"/>
      <c r="G270" s="210"/>
      <c r="H270" s="211"/>
    </row>
    <row r="271" ht="15.75" customHeight="1">
      <c r="B271" s="225"/>
      <c r="C271" s="187"/>
      <c r="D271" s="232"/>
      <c r="E271" s="221" t="str">
        <f t="shared" si="1"/>
        <v/>
      </c>
      <c r="F271" s="214"/>
      <c r="G271" s="214"/>
      <c r="H271" s="215"/>
    </row>
    <row r="272" ht="15.75" customHeight="1">
      <c r="B272" s="190"/>
      <c r="C272" s="183"/>
      <c r="D272" s="233"/>
      <c r="E272" s="173" t="str">
        <f t="shared" si="1"/>
        <v/>
      </c>
      <c r="F272" s="210"/>
      <c r="G272" s="210"/>
      <c r="H272" s="211"/>
    </row>
    <row r="273" ht="15.75" customHeight="1">
      <c r="B273" s="225"/>
      <c r="C273" s="187"/>
      <c r="D273" s="232"/>
      <c r="E273" s="221" t="str">
        <f t="shared" si="1"/>
        <v/>
      </c>
      <c r="F273" s="214"/>
      <c r="G273" s="214"/>
      <c r="H273" s="215"/>
    </row>
    <row r="274" ht="15.75" customHeight="1">
      <c r="B274" s="190"/>
      <c r="C274" s="183"/>
      <c r="D274" s="233"/>
      <c r="E274" s="173" t="str">
        <f t="shared" si="1"/>
        <v/>
      </c>
      <c r="F274" s="210"/>
      <c r="G274" s="210"/>
      <c r="H274" s="211"/>
    </row>
    <row r="275" ht="15.75" customHeight="1">
      <c r="B275" s="225"/>
      <c r="C275" s="187"/>
      <c r="D275" s="232"/>
      <c r="E275" s="221" t="str">
        <f t="shared" si="1"/>
        <v/>
      </c>
      <c r="F275" s="214"/>
      <c r="G275" s="214"/>
      <c r="H275" s="215"/>
    </row>
    <row r="276" ht="15.75" customHeight="1">
      <c r="B276" s="190"/>
      <c r="C276" s="183"/>
      <c r="D276" s="233"/>
      <c r="E276" s="173" t="str">
        <f t="shared" si="1"/>
        <v/>
      </c>
      <c r="F276" s="210"/>
      <c r="G276" s="210"/>
      <c r="H276" s="211"/>
    </row>
    <row r="277" ht="15.75" customHeight="1">
      <c r="B277" s="225"/>
      <c r="C277" s="187"/>
      <c r="D277" s="232"/>
      <c r="E277" s="221" t="str">
        <f t="shared" si="1"/>
        <v/>
      </c>
      <c r="F277" s="214"/>
      <c r="G277" s="214"/>
      <c r="H277" s="215"/>
    </row>
    <row r="278" ht="15.75" customHeight="1">
      <c r="B278" s="190"/>
      <c r="C278" s="183"/>
      <c r="D278" s="233"/>
      <c r="E278" s="173" t="str">
        <f t="shared" si="1"/>
        <v/>
      </c>
      <c r="F278" s="210"/>
      <c r="G278" s="210"/>
      <c r="H278" s="211"/>
    </row>
    <row r="279" ht="15.75" customHeight="1">
      <c r="B279" s="225"/>
      <c r="C279" s="187"/>
      <c r="D279" s="232"/>
      <c r="E279" s="221" t="str">
        <f t="shared" si="1"/>
        <v/>
      </c>
      <c r="F279" s="214"/>
      <c r="G279" s="214"/>
      <c r="H279" s="215"/>
    </row>
    <row r="280" ht="15.75" customHeight="1">
      <c r="B280" s="190"/>
      <c r="C280" s="183"/>
      <c r="D280" s="233"/>
      <c r="E280" s="173" t="str">
        <f t="shared" si="1"/>
        <v/>
      </c>
      <c r="F280" s="210"/>
      <c r="G280" s="210"/>
      <c r="H280" s="211"/>
    </row>
    <row r="281" ht="15.75" customHeight="1">
      <c r="B281" s="225"/>
      <c r="C281" s="187"/>
      <c r="D281" s="232"/>
      <c r="E281" s="221" t="str">
        <f t="shared" si="1"/>
        <v/>
      </c>
      <c r="F281" s="214"/>
      <c r="G281" s="214"/>
      <c r="H281" s="215"/>
    </row>
    <row r="282" ht="15.75" customHeight="1">
      <c r="B282" s="190"/>
      <c r="C282" s="183"/>
      <c r="D282" s="233"/>
      <c r="E282" s="173" t="str">
        <f t="shared" si="1"/>
        <v/>
      </c>
      <c r="F282" s="210"/>
      <c r="G282" s="210"/>
      <c r="H282" s="211"/>
    </row>
    <row r="283" ht="15.75" customHeight="1">
      <c r="B283" s="225"/>
      <c r="C283" s="187"/>
      <c r="D283" s="232"/>
      <c r="E283" s="221" t="str">
        <f t="shared" si="1"/>
        <v/>
      </c>
      <c r="F283" s="214"/>
      <c r="G283" s="214"/>
      <c r="H283" s="215"/>
    </row>
    <row r="284" ht="15.75" customHeight="1">
      <c r="B284" s="190"/>
      <c r="C284" s="183"/>
      <c r="D284" s="233"/>
      <c r="E284" s="173" t="str">
        <f t="shared" si="1"/>
        <v/>
      </c>
      <c r="F284" s="210"/>
      <c r="G284" s="210"/>
      <c r="H284" s="211"/>
    </row>
    <row r="285" ht="15.75" customHeight="1">
      <c r="B285" s="225"/>
      <c r="C285" s="187"/>
      <c r="D285" s="232"/>
      <c r="E285" s="221" t="str">
        <f t="shared" si="1"/>
        <v/>
      </c>
      <c r="F285" s="214"/>
      <c r="G285" s="214"/>
      <c r="H285" s="215"/>
    </row>
    <row r="286" ht="15.75" customHeight="1">
      <c r="B286" s="190"/>
      <c r="C286" s="183"/>
      <c r="D286" s="233"/>
      <c r="E286" s="173" t="str">
        <f t="shared" si="1"/>
        <v/>
      </c>
      <c r="F286" s="210"/>
      <c r="G286" s="210"/>
      <c r="H286" s="211"/>
    </row>
    <row r="287" ht="15.75" customHeight="1">
      <c r="B287" s="225"/>
      <c r="C287" s="187"/>
      <c r="D287" s="232"/>
      <c r="E287" s="221" t="str">
        <f t="shared" si="1"/>
        <v/>
      </c>
      <c r="F287" s="214"/>
      <c r="G287" s="214"/>
      <c r="H287" s="215"/>
    </row>
    <row r="288" ht="15.75" customHeight="1">
      <c r="B288" s="190"/>
      <c r="C288" s="183"/>
      <c r="D288" s="233"/>
      <c r="E288" s="173" t="str">
        <f t="shared" si="1"/>
        <v/>
      </c>
      <c r="F288" s="210"/>
      <c r="G288" s="210"/>
      <c r="H288" s="211"/>
    </row>
    <row r="289" ht="15.75" customHeight="1">
      <c r="B289" s="225"/>
      <c r="C289" s="187"/>
      <c r="D289" s="232"/>
      <c r="E289" s="221" t="str">
        <f t="shared" si="1"/>
        <v/>
      </c>
      <c r="F289" s="214"/>
      <c r="G289" s="214"/>
      <c r="H289" s="215"/>
    </row>
    <row r="290" ht="15.75" customHeight="1">
      <c r="B290" s="190"/>
      <c r="C290" s="183"/>
      <c r="D290" s="233"/>
      <c r="E290" s="173" t="str">
        <f t="shared" si="1"/>
        <v/>
      </c>
      <c r="F290" s="210"/>
      <c r="G290" s="210"/>
      <c r="H290" s="211"/>
    </row>
    <row r="291" ht="15.75" customHeight="1">
      <c r="B291" s="225"/>
      <c r="C291" s="187"/>
      <c r="D291" s="232"/>
      <c r="E291" s="221" t="str">
        <f t="shared" si="1"/>
        <v/>
      </c>
      <c r="F291" s="214"/>
      <c r="G291" s="214"/>
      <c r="H291" s="215"/>
    </row>
    <row r="292" ht="15.75" customHeight="1">
      <c r="B292" s="190"/>
      <c r="C292" s="183"/>
      <c r="D292" s="233"/>
      <c r="E292" s="173" t="str">
        <f t="shared" si="1"/>
        <v/>
      </c>
      <c r="F292" s="210"/>
      <c r="G292" s="210"/>
      <c r="H292" s="211"/>
    </row>
    <row r="293" ht="15.75" customHeight="1">
      <c r="B293" s="225"/>
      <c r="C293" s="187"/>
      <c r="D293" s="232"/>
      <c r="E293" s="221" t="str">
        <f t="shared" si="1"/>
        <v/>
      </c>
      <c r="F293" s="214"/>
      <c r="G293" s="214"/>
      <c r="H293" s="215"/>
    </row>
    <row r="294" ht="15.75" customHeight="1">
      <c r="B294" s="190"/>
      <c r="C294" s="183"/>
      <c r="D294" s="233"/>
      <c r="E294" s="173" t="str">
        <f t="shared" si="1"/>
        <v/>
      </c>
      <c r="F294" s="210"/>
      <c r="G294" s="210"/>
      <c r="H294" s="211"/>
    </row>
    <row r="295" ht="15.75" customHeight="1">
      <c r="B295" s="225"/>
      <c r="C295" s="187"/>
      <c r="D295" s="232"/>
      <c r="E295" s="221" t="str">
        <f t="shared" si="1"/>
        <v/>
      </c>
      <c r="F295" s="214"/>
      <c r="G295" s="214"/>
      <c r="H295" s="215"/>
    </row>
    <row r="296" ht="15.75" customHeight="1">
      <c r="B296" s="190"/>
      <c r="C296" s="183"/>
      <c r="D296" s="233"/>
      <c r="E296" s="173" t="str">
        <f t="shared" si="1"/>
        <v/>
      </c>
      <c r="F296" s="210"/>
      <c r="G296" s="210"/>
      <c r="H296" s="211"/>
    </row>
    <row r="297" ht="15.75" customHeight="1">
      <c r="B297" s="225"/>
      <c r="C297" s="187"/>
      <c r="D297" s="232"/>
      <c r="E297" s="221" t="str">
        <f t="shared" si="1"/>
        <v/>
      </c>
      <c r="F297" s="214"/>
      <c r="G297" s="214"/>
      <c r="H297" s="215"/>
    </row>
    <row r="298" ht="15.75" customHeight="1">
      <c r="B298" s="190"/>
      <c r="C298" s="183"/>
      <c r="D298" s="233"/>
      <c r="E298" s="173" t="str">
        <f t="shared" si="1"/>
        <v/>
      </c>
      <c r="F298" s="210"/>
      <c r="G298" s="210"/>
      <c r="H298" s="211"/>
    </row>
    <row r="299" ht="15.75" customHeight="1">
      <c r="B299" s="225"/>
      <c r="C299" s="187"/>
      <c r="D299" s="232"/>
      <c r="E299" s="221" t="str">
        <f t="shared" si="1"/>
        <v/>
      </c>
      <c r="F299" s="214"/>
      <c r="G299" s="214"/>
      <c r="H299" s="215"/>
    </row>
    <row r="300" ht="15.75" customHeight="1">
      <c r="B300" s="190"/>
      <c r="C300" s="183"/>
      <c r="D300" s="233"/>
      <c r="E300" s="173" t="str">
        <f t="shared" si="1"/>
        <v/>
      </c>
      <c r="F300" s="210"/>
      <c r="G300" s="210"/>
      <c r="H300" s="211"/>
    </row>
    <row r="301" ht="15.75" customHeight="1">
      <c r="B301" s="225"/>
      <c r="C301" s="187"/>
      <c r="D301" s="232"/>
      <c r="E301" s="221" t="str">
        <f t="shared" si="1"/>
        <v/>
      </c>
      <c r="F301" s="214"/>
      <c r="G301" s="214"/>
      <c r="H301" s="215"/>
    </row>
    <row r="302" ht="15.75" customHeight="1">
      <c r="B302" s="190"/>
      <c r="C302" s="183"/>
      <c r="D302" s="233"/>
      <c r="E302" s="173" t="str">
        <f t="shared" si="1"/>
        <v/>
      </c>
      <c r="F302" s="210"/>
      <c r="G302" s="210"/>
      <c r="H302" s="211"/>
    </row>
    <row r="303" ht="15.75" customHeight="1">
      <c r="B303" s="225"/>
      <c r="C303" s="187"/>
      <c r="D303" s="232"/>
      <c r="E303" s="221" t="str">
        <f t="shared" si="1"/>
        <v/>
      </c>
      <c r="F303" s="214"/>
      <c r="G303" s="214"/>
      <c r="H303" s="215"/>
    </row>
    <row r="304" ht="15.75" customHeight="1">
      <c r="B304" s="190"/>
      <c r="C304" s="183"/>
      <c r="D304" s="233"/>
      <c r="E304" s="173" t="str">
        <f t="shared" si="1"/>
        <v/>
      </c>
      <c r="F304" s="210"/>
      <c r="G304" s="210"/>
      <c r="H304" s="211"/>
    </row>
    <row r="305" ht="15.75" customHeight="1">
      <c r="B305" s="225"/>
      <c r="C305" s="187"/>
      <c r="D305" s="232"/>
      <c r="E305" s="221" t="str">
        <f t="shared" si="1"/>
        <v/>
      </c>
      <c r="F305" s="214"/>
      <c r="G305" s="214"/>
      <c r="H305" s="215"/>
    </row>
    <row r="306" ht="15.75" customHeight="1">
      <c r="B306" s="190"/>
      <c r="C306" s="183"/>
      <c r="D306" s="233"/>
      <c r="E306" s="173" t="str">
        <f t="shared" si="1"/>
        <v/>
      </c>
      <c r="F306" s="210"/>
      <c r="G306" s="210"/>
      <c r="H306" s="211"/>
    </row>
    <row r="307" ht="15.75" customHeight="1">
      <c r="B307" s="225"/>
      <c r="C307" s="187"/>
      <c r="D307" s="232"/>
      <c r="E307" s="221" t="str">
        <f t="shared" si="1"/>
        <v/>
      </c>
      <c r="F307" s="214"/>
      <c r="G307" s="214"/>
      <c r="H307" s="215"/>
    </row>
    <row r="308" ht="15.75" customHeight="1">
      <c r="B308" s="190"/>
      <c r="C308" s="183"/>
      <c r="D308" s="233"/>
      <c r="E308" s="173" t="str">
        <f t="shared" si="1"/>
        <v/>
      </c>
      <c r="F308" s="210"/>
      <c r="G308" s="210"/>
      <c r="H308" s="211"/>
    </row>
    <row r="309" ht="15.75" customHeight="1">
      <c r="B309" s="225"/>
      <c r="C309" s="187"/>
      <c r="D309" s="232"/>
      <c r="E309" s="221" t="str">
        <f t="shared" si="1"/>
        <v/>
      </c>
      <c r="F309" s="214"/>
      <c r="G309" s="214"/>
      <c r="H309" s="215"/>
    </row>
    <row r="310" ht="15.75" customHeight="1">
      <c r="B310" s="190"/>
      <c r="C310" s="183"/>
      <c r="D310" s="233"/>
      <c r="E310" s="173" t="str">
        <f t="shared" si="1"/>
        <v/>
      </c>
      <c r="F310" s="210"/>
      <c r="G310" s="210"/>
      <c r="H310" s="211"/>
    </row>
    <row r="311" ht="15.75" customHeight="1">
      <c r="B311" s="225"/>
      <c r="C311" s="187"/>
      <c r="D311" s="232"/>
      <c r="E311" s="221" t="str">
        <f t="shared" si="1"/>
        <v/>
      </c>
      <c r="F311" s="214"/>
      <c r="G311" s="214"/>
      <c r="H311" s="215"/>
    </row>
    <row r="312" ht="15.75" customHeight="1">
      <c r="B312" s="190"/>
      <c r="C312" s="183"/>
      <c r="D312" s="233"/>
      <c r="E312" s="173" t="str">
        <f t="shared" si="1"/>
        <v/>
      </c>
      <c r="F312" s="210"/>
      <c r="G312" s="210"/>
      <c r="H312" s="211"/>
    </row>
    <row r="313" ht="15.75" customHeight="1">
      <c r="B313" s="225"/>
      <c r="C313" s="187"/>
      <c r="D313" s="232"/>
      <c r="E313" s="221" t="str">
        <f t="shared" si="1"/>
        <v/>
      </c>
      <c r="F313" s="214"/>
      <c r="G313" s="214"/>
      <c r="H313" s="215"/>
    </row>
    <row r="314" ht="15.75" customHeight="1">
      <c r="B314" s="190"/>
      <c r="C314" s="183"/>
      <c r="D314" s="233"/>
      <c r="E314" s="173" t="str">
        <f t="shared" si="1"/>
        <v/>
      </c>
      <c r="F314" s="210"/>
      <c r="G314" s="210"/>
      <c r="H314" s="211"/>
    </row>
    <row r="315" ht="15.75" customHeight="1">
      <c r="B315" s="225"/>
      <c r="C315" s="187"/>
      <c r="D315" s="232"/>
      <c r="E315" s="221" t="str">
        <f t="shared" si="1"/>
        <v/>
      </c>
      <c r="F315" s="214"/>
      <c r="G315" s="214"/>
      <c r="H315" s="215"/>
    </row>
    <row r="316" ht="15.75" customHeight="1">
      <c r="B316" s="190"/>
      <c r="C316" s="183"/>
      <c r="D316" s="233"/>
      <c r="E316" s="173" t="str">
        <f t="shared" si="1"/>
        <v/>
      </c>
      <c r="F316" s="210"/>
      <c r="G316" s="210"/>
      <c r="H316" s="211"/>
    </row>
    <row r="317" ht="15.75" customHeight="1">
      <c r="B317" s="225"/>
      <c r="C317" s="187"/>
      <c r="D317" s="232"/>
      <c r="E317" s="221" t="str">
        <f t="shared" si="1"/>
        <v/>
      </c>
      <c r="F317" s="214"/>
      <c r="G317" s="214"/>
      <c r="H317" s="215"/>
    </row>
    <row r="318" ht="15.75" customHeight="1">
      <c r="B318" s="190"/>
      <c r="C318" s="183"/>
      <c r="D318" s="233"/>
      <c r="E318" s="173" t="str">
        <f t="shared" si="1"/>
        <v/>
      </c>
      <c r="F318" s="210"/>
      <c r="G318" s="210"/>
      <c r="H318" s="211"/>
    </row>
    <row r="319" ht="15.75" customHeight="1">
      <c r="B319" s="225"/>
      <c r="C319" s="187"/>
      <c r="D319" s="232"/>
      <c r="E319" s="221" t="str">
        <f t="shared" si="1"/>
        <v/>
      </c>
      <c r="F319" s="214"/>
      <c r="G319" s="214"/>
      <c r="H319" s="215"/>
    </row>
    <row r="320" ht="15.75" customHeight="1">
      <c r="B320" s="190"/>
      <c r="C320" s="183"/>
      <c r="D320" s="233"/>
      <c r="E320" s="173" t="str">
        <f t="shared" si="1"/>
        <v/>
      </c>
      <c r="F320" s="210"/>
      <c r="G320" s="210"/>
      <c r="H320" s="211"/>
    </row>
    <row r="321" ht="15.75" customHeight="1">
      <c r="B321" s="225"/>
      <c r="C321" s="187"/>
      <c r="D321" s="232"/>
      <c r="E321" s="221" t="str">
        <f t="shared" si="1"/>
        <v/>
      </c>
      <c r="F321" s="214"/>
      <c r="G321" s="214"/>
      <c r="H321" s="215"/>
    </row>
    <row r="322" ht="15.75" customHeight="1">
      <c r="B322" s="190"/>
      <c r="C322" s="183"/>
      <c r="D322" s="233"/>
      <c r="E322" s="173" t="str">
        <f t="shared" si="1"/>
        <v/>
      </c>
      <c r="F322" s="210"/>
      <c r="G322" s="210"/>
      <c r="H322" s="211"/>
    </row>
    <row r="323" ht="15.75" customHeight="1">
      <c r="B323" s="225"/>
      <c r="C323" s="187"/>
      <c r="D323" s="232"/>
      <c r="E323" s="221" t="str">
        <f t="shared" si="1"/>
        <v/>
      </c>
      <c r="F323" s="214"/>
      <c r="G323" s="214"/>
      <c r="H323" s="215"/>
    </row>
    <row r="324" ht="15.75" customHeight="1">
      <c r="B324" s="190"/>
      <c r="C324" s="183"/>
      <c r="D324" s="233"/>
      <c r="E324" s="173" t="str">
        <f t="shared" si="1"/>
        <v/>
      </c>
      <c r="F324" s="210"/>
      <c r="G324" s="210"/>
      <c r="H324" s="211"/>
    </row>
    <row r="325" ht="15.75" customHeight="1">
      <c r="B325" s="225"/>
      <c r="C325" s="187"/>
      <c r="D325" s="232"/>
      <c r="E325" s="221" t="str">
        <f t="shared" si="1"/>
        <v/>
      </c>
      <c r="F325" s="214"/>
      <c r="G325" s="214"/>
      <c r="H325" s="215"/>
    </row>
    <row r="326" ht="15.75" customHeight="1">
      <c r="B326" s="190"/>
      <c r="C326" s="183"/>
      <c r="D326" s="233"/>
      <c r="E326" s="173" t="str">
        <f t="shared" si="1"/>
        <v/>
      </c>
      <c r="F326" s="210"/>
      <c r="G326" s="210"/>
      <c r="H326" s="211"/>
    </row>
    <row r="327" ht="15.75" customHeight="1">
      <c r="B327" s="225"/>
      <c r="C327" s="187"/>
      <c r="D327" s="232"/>
      <c r="E327" s="221" t="str">
        <f t="shared" si="1"/>
        <v/>
      </c>
      <c r="F327" s="214"/>
      <c r="G327" s="214"/>
      <c r="H327" s="215"/>
    </row>
    <row r="328" ht="15.75" customHeight="1">
      <c r="B328" s="190"/>
      <c r="C328" s="183"/>
      <c r="D328" s="233"/>
      <c r="E328" s="173" t="str">
        <f t="shared" si="1"/>
        <v/>
      </c>
      <c r="F328" s="210"/>
      <c r="G328" s="210"/>
      <c r="H328" s="211"/>
    </row>
    <row r="329" ht="15.75" customHeight="1">
      <c r="B329" s="225"/>
      <c r="C329" s="187"/>
      <c r="D329" s="232"/>
      <c r="E329" s="221" t="str">
        <f t="shared" si="1"/>
        <v/>
      </c>
      <c r="F329" s="214"/>
      <c r="G329" s="214"/>
      <c r="H329" s="215"/>
    </row>
    <row r="330" ht="15.75" customHeight="1">
      <c r="B330" s="190"/>
      <c r="C330" s="183"/>
      <c r="D330" s="233"/>
      <c r="E330" s="173" t="str">
        <f t="shared" si="1"/>
        <v/>
      </c>
      <c r="F330" s="210"/>
      <c r="G330" s="210"/>
      <c r="H330" s="211"/>
    </row>
    <row r="331" ht="15.75" customHeight="1">
      <c r="B331" s="225"/>
      <c r="C331" s="187"/>
      <c r="D331" s="232"/>
      <c r="E331" s="221" t="str">
        <f t="shared" si="1"/>
        <v/>
      </c>
      <c r="F331" s="214"/>
      <c r="G331" s="214"/>
      <c r="H331" s="215"/>
    </row>
    <row r="332" ht="15.75" customHeight="1">
      <c r="B332" s="190"/>
      <c r="C332" s="183"/>
      <c r="D332" s="233"/>
      <c r="E332" s="173" t="str">
        <f t="shared" si="1"/>
        <v/>
      </c>
      <c r="F332" s="210"/>
      <c r="G332" s="210"/>
      <c r="H332" s="211"/>
    </row>
    <row r="333" ht="15.75" customHeight="1">
      <c r="B333" s="225"/>
      <c r="C333" s="187"/>
      <c r="D333" s="232"/>
      <c r="E333" s="221" t="str">
        <f t="shared" si="1"/>
        <v/>
      </c>
      <c r="F333" s="214"/>
      <c r="G333" s="214"/>
      <c r="H333" s="215"/>
    </row>
    <row r="334" ht="15.75" customHeight="1">
      <c r="B334" s="190"/>
      <c r="C334" s="183"/>
      <c r="D334" s="233"/>
      <c r="E334" s="173" t="str">
        <f t="shared" si="1"/>
        <v/>
      </c>
      <c r="F334" s="210"/>
      <c r="G334" s="210"/>
      <c r="H334" s="211"/>
    </row>
    <row r="335" ht="15.75" customHeight="1">
      <c r="B335" s="225"/>
      <c r="C335" s="187"/>
      <c r="D335" s="232"/>
      <c r="E335" s="221" t="str">
        <f t="shared" si="1"/>
        <v/>
      </c>
      <c r="F335" s="214"/>
      <c r="G335" s="214"/>
      <c r="H335" s="215"/>
    </row>
    <row r="336" ht="15.75" customHeight="1">
      <c r="B336" s="190"/>
      <c r="C336" s="183"/>
      <c r="D336" s="233"/>
      <c r="E336" s="173" t="str">
        <f t="shared" si="1"/>
        <v/>
      </c>
      <c r="F336" s="210"/>
      <c r="G336" s="210"/>
      <c r="H336" s="211"/>
    </row>
    <row r="337" ht="15.75" customHeight="1">
      <c r="B337" s="225"/>
      <c r="C337" s="187"/>
      <c r="D337" s="232"/>
      <c r="E337" s="221" t="str">
        <f t="shared" si="1"/>
        <v/>
      </c>
      <c r="F337" s="214"/>
      <c r="G337" s="214"/>
      <c r="H337" s="215"/>
    </row>
    <row r="338" ht="15.75" customHeight="1">
      <c r="B338" s="190"/>
      <c r="C338" s="183"/>
      <c r="D338" s="233"/>
      <c r="E338" s="173" t="str">
        <f t="shared" si="1"/>
        <v/>
      </c>
      <c r="F338" s="210"/>
      <c r="G338" s="210"/>
      <c r="H338" s="211"/>
    </row>
    <row r="339" ht="15.75" customHeight="1">
      <c r="B339" s="225"/>
      <c r="C339" s="187"/>
      <c r="D339" s="232"/>
      <c r="E339" s="221" t="str">
        <f t="shared" si="1"/>
        <v/>
      </c>
      <c r="F339" s="214"/>
      <c r="G339" s="214"/>
      <c r="H339" s="215"/>
    </row>
    <row r="340" ht="15.75" customHeight="1">
      <c r="B340" s="190"/>
      <c r="C340" s="183"/>
      <c r="D340" s="233"/>
      <c r="E340" s="173" t="str">
        <f t="shared" si="1"/>
        <v/>
      </c>
      <c r="F340" s="210"/>
      <c r="G340" s="210"/>
      <c r="H340" s="211"/>
    </row>
    <row r="341" ht="15.75" customHeight="1">
      <c r="B341" s="225"/>
      <c r="C341" s="187"/>
      <c r="D341" s="232"/>
      <c r="E341" s="221" t="str">
        <f t="shared" si="1"/>
        <v/>
      </c>
      <c r="F341" s="214"/>
      <c r="G341" s="214"/>
      <c r="H341" s="215"/>
    </row>
    <row r="342" ht="15.75" customHeight="1">
      <c r="B342" s="190"/>
      <c r="C342" s="183"/>
      <c r="D342" s="233"/>
      <c r="E342" s="173" t="str">
        <f t="shared" si="1"/>
        <v/>
      </c>
      <c r="F342" s="210"/>
      <c r="G342" s="210"/>
      <c r="H342" s="211"/>
    </row>
    <row r="343" ht="15.75" customHeight="1">
      <c r="B343" s="225"/>
      <c r="C343" s="187"/>
      <c r="D343" s="232"/>
      <c r="E343" s="221" t="str">
        <f t="shared" si="1"/>
        <v/>
      </c>
      <c r="F343" s="214"/>
      <c r="G343" s="214"/>
      <c r="H343" s="215"/>
    </row>
    <row r="344" ht="15.75" customHeight="1">
      <c r="B344" s="190"/>
      <c r="C344" s="183"/>
      <c r="D344" s="233"/>
      <c r="E344" s="173" t="str">
        <f t="shared" si="1"/>
        <v/>
      </c>
      <c r="F344" s="210"/>
      <c r="G344" s="210"/>
      <c r="H344" s="211"/>
    </row>
    <row r="345" ht="15.75" customHeight="1">
      <c r="B345" s="225"/>
      <c r="C345" s="187"/>
      <c r="D345" s="232"/>
      <c r="E345" s="221" t="str">
        <f t="shared" si="1"/>
        <v/>
      </c>
      <c r="F345" s="214"/>
      <c r="G345" s="214"/>
      <c r="H345" s="215"/>
    </row>
    <row r="346" ht="15.75" customHeight="1">
      <c r="B346" s="190"/>
      <c r="C346" s="183"/>
      <c r="D346" s="233"/>
      <c r="E346" s="173" t="str">
        <f t="shared" si="1"/>
        <v/>
      </c>
      <c r="F346" s="210"/>
      <c r="G346" s="210"/>
      <c r="H346" s="211"/>
    </row>
    <row r="347" ht="15.75" customHeight="1">
      <c r="B347" s="225"/>
      <c r="C347" s="187"/>
      <c r="D347" s="232"/>
      <c r="E347" s="221" t="str">
        <f t="shared" si="1"/>
        <v/>
      </c>
      <c r="F347" s="214"/>
      <c r="G347" s="214"/>
      <c r="H347" s="215"/>
    </row>
    <row r="348" ht="15.75" customHeight="1">
      <c r="B348" s="190"/>
      <c r="C348" s="183"/>
      <c r="D348" s="233"/>
      <c r="E348" s="173" t="str">
        <f t="shared" si="1"/>
        <v/>
      </c>
      <c r="F348" s="210"/>
      <c r="G348" s="210"/>
      <c r="H348" s="211"/>
    </row>
    <row r="349" ht="15.75" customHeight="1">
      <c r="B349" s="225"/>
      <c r="C349" s="187"/>
      <c r="D349" s="232"/>
      <c r="E349" s="221" t="str">
        <f t="shared" si="1"/>
        <v/>
      </c>
      <c r="F349" s="214"/>
      <c r="G349" s="214"/>
      <c r="H349" s="215"/>
    </row>
    <row r="350" ht="15.75" customHeight="1">
      <c r="B350" s="190"/>
      <c r="C350" s="183"/>
      <c r="D350" s="233"/>
      <c r="E350" s="173" t="str">
        <f t="shared" si="1"/>
        <v/>
      </c>
      <c r="F350" s="210"/>
      <c r="G350" s="210"/>
      <c r="H350" s="211"/>
    </row>
    <row r="351" ht="15.75" customHeight="1">
      <c r="B351" s="225"/>
      <c r="C351" s="187"/>
      <c r="D351" s="232"/>
      <c r="E351" s="221" t="str">
        <f t="shared" si="1"/>
        <v/>
      </c>
      <c r="F351" s="214"/>
      <c r="G351" s="214"/>
      <c r="H351" s="215"/>
    </row>
    <row r="352" ht="15.75" customHeight="1">
      <c r="B352" s="190"/>
      <c r="C352" s="183"/>
      <c r="D352" s="233"/>
      <c r="E352" s="173" t="str">
        <f t="shared" si="1"/>
        <v/>
      </c>
      <c r="F352" s="210"/>
      <c r="G352" s="210"/>
      <c r="H352" s="211"/>
    </row>
    <row r="353" ht="15.75" customHeight="1">
      <c r="B353" s="225"/>
      <c r="C353" s="187"/>
      <c r="D353" s="232"/>
      <c r="E353" s="221" t="str">
        <f t="shared" si="1"/>
        <v/>
      </c>
      <c r="F353" s="214"/>
      <c r="G353" s="214"/>
      <c r="H353" s="215"/>
    </row>
    <row r="354" ht="15.75" customHeight="1">
      <c r="B354" s="190"/>
      <c r="C354" s="183"/>
      <c r="D354" s="233"/>
      <c r="E354" s="173" t="str">
        <f t="shared" si="1"/>
        <v/>
      </c>
      <c r="F354" s="210"/>
      <c r="G354" s="210"/>
      <c r="H354" s="211"/>
    </row>
    <row r="355" ht="15.75" customHeight="1">
      <c r="B355" s="225"/>
      <c r="C355" s="187"/>
      <c r="D355" s="232"/>
      <c r="E355" s="221" t="str">
        <f t="shared" si="1"/>
        <v/>
      </c>
      <c r="F355" s="214"/>
      <c r="G355" s="214"/>
      <c r="H355" s="215"/>
    </row>
    <row r="356" ht="15.75" customHeight="1">
      <c r="B356" s="190"/>
      <c r="C356" s="183"/>
      <c r="D356" s="233"/>
      <c r="E356" s="173" t="str">
        <f t="shared" si="1"/>
        <v/>
      </c>
      <c r="F356" s="210"/>
      <c r="G356" s="210"/>
      <c r="H356" s="211"/>
    </row>
    <row r="357" ht="15.75" customHeight="1">
      <c r="B357" s="225"/>
      <c r="C357" s="187"/>
      <c r="D357" s="232"/>
      <c r="E357" s="221" t="str">
        <f t="shared" si="1"/>
        <v/>
      </c>
      <c r="F357" s="214"/>
      <c r="G357" s="214"/>
      <c r="H357" s="215"/>
    </row>
    <row r="358" ht="15.75" customHeight="1">
      <c r="B358" s="190"/>
      <c r="C358" s="183"/>
      <c r="D358" s="233"/>
      <c r="E358" s="173" t="str">
        <f t="shared" si="1"/>
        <v/>
      </c>
      <c r="F358" s="210"/>
      <c r="G358" s="210"/>
      <c r="H358" s="211"/>
    </row>
    <row r="359" ht="15.75" customHeight="1">
      <c r="B359" s="225"/>
      <c r="C359" s="187"/>
      <c r="D359" s="232"/>
      <c r="E359" s="221" t="str">
        <f t="shared" si="1"/>
        <v/>
      </c>
      <c r="F359" s="214"/>
      <c r="G359" s="214"/>
      <c r="H359" s="215"/>
    </row>
    <row r="360" ht="15.75" customHeight="1">
      <c r="B360" s="190"/>
      <c r="C360" s="183"/>
      <c r="D360" s="233"/>
      <c r="E360" s="173" t="str">
        <f t="shared" si="1"/>
        <v/>
      </c>
      <c r="F360" s="210"/>
      <c r="G360" s="210"/>
      <c r="H360" s="211"/>
    </row>
    <row r="361" ht="15.75" customHeight="1">
      <c r="B361" s="225"/>
      <c r="C361" s="187"/>
      <c r="D361" s="232"/>
      <c r="E361" s="221" t="str">
        <f t="shared" si="1"/>
        <v/>
      </c>
      <c r="F361" s="214"/>
      <c r="G361" s="214"/>
      <c r="H361" s="215"/>
    </row>
    <row r="362" ht="15.75" customHeight="1">
      <c r="B362" s="190"/>
      <c r="C362" s="183"/>
      <c r="D362" s="233"/>
      <c r="E362" s="173" t="str">
        <f t="shared" si="1"/>
        <v/>
      </c>
      <c r="F362" s="210"/>
      <c r="G362" s="210"/>
      <c r="H362" s="211"/>
    </row>
    <row r="363" ht="15.75" customHeight="1">
      <c r="B363" s="225"/>
      <c r="C363" s="187"/>
      <c r="D363" s="232"/>
      <c r="E363" s="221" t="str">
        <f t="shared" si="1"/>
        <v/>
      </c>
      <c r="F363" s="214"/>
      <c r="G363" s="214"/>
      <c r="H363" s="215"/>
    </row>
    <row r="364" ht="15.75" customHeight="1">
      <c r="B364" s="190"/>
      <c r="C364" s="183"/>
      <c r="D364" s="233"/>
      <c r="E364" s="173" t="str">
        <f t="shared" si="1"/>
        <v/>
      </c>
      <c r="F364" s="210"/>
      <c r="G364" s="210"/>
      <c r="H364" s="211"/>
    </row>
    <row r="365" ht="15.75" customHeight="1">
      <c r="B365" s="225"/>
      <c r="C365" s="187"/>
      <c r="D365" s="232"/>
      <c r="E365" s="221" t="str">
        <f t="shared" si="1"/>
        <v/>
      </c>
      <c r="F365" s="214"/>
      <c r="G365" s="214"/>
      <c r="H365" s="215"/>
    </row>
    <row r="366" ht="15.75" customHeight="1">
      <c r="B366" s="190"/>
      <c r="C366" s="183"/>
      <c r="D366" s="233"/>
      <c r="E366" s="173" t="str">
        <f t="shared" si="1"/>
        <v/>
      </c>
      <c r="F366" s="210"/>
      <c r="G366" s="210"/>
      <c r="H366" s="211"/>
    </row>
    <row r="367" ht="15.75" customHeight="1">
      <c r="B367" s="225"/>
      <c r="C367" s="187"/>
      <c r="D367" s="232"/>
      <c r="E367" s="221" t="str">
        <f t="shared" si="1"/>
        <v/>
      </c>
      <c r="F367" s="214"/>
      <c r="G367" s="214"/>
      <c r="H367" s="215"/>
    </row>
    <row r="368" ht="15.75" customHeight="1">
      <c r="B368" s="190"/>
      <c r="C368" s="183"/>
      <c r="D368" s="233"/>
      <c r="E368" s="173" t="str">
        <f t="shared" si="1"/>
        <v/>
      </c>
      <c r="F368" s="210"/>
      <c r="G368" s="210"/>
      <c r="H368" s="211"/>
    </row>
    <row r="369" ht="15.75" customHeight="1">
      <c r="B369" s="225"/>
      <c r="C369" s="187"/>
      <c r="D369" s="232"/>
      <c r="E369" s="221" t="str">
        <f t="shared" si="1"/>
        <v/>
      </c>
      <c r="F369" s="214"/>
      <c r="G369" s="214"/>
      <c r="H369" s="215"/>
    </row>
    <row r="370" ht="15.75" customHeight="1">
      <c r="B370" s="190"/>
      <c r="C370" s="183"/>
      <c r="D370" s="233"/>
      <c r="E370" s="173" t="str">
        <f t="shared" si="1"/>
        <v/>
      </c>
      <c r="F370" s="210"/>
      <c r="G370" s="210"/>
      <c r="H370" s="211"/>
    </row>
    <row r="371" ht="15.75" customHeight="1">
      <c r="B371" s="225"/>
      <c r="C371" s="187"/>
      <c r="D371" s="232"/>
      <c r="E371" s="221" t="str">
        <f t="shared" si="1"/>
        <v/>
      </c>
      <c r="F371" s="214"/>
      <c r="G371" s="214"/>
      <c r="H371" s="215"/>
    </row>
    <row r="372" ht="15.75" customHeight="1">
      <c r="B372" s="190"/>
      <c r="C372" s="183"/>
      <c r="D372" s="233"/>
      <c r="E372" s="173" t="str">
        <f t="shared" si="1"/>
        <v/>
      </c>
      <c r="F372" s="210"/>
      <c r="G372" s="210"/>
      <c r="H372" s="211"/>
    </row>
    <row r="373" ht="15.75" customHeight="1">
      <c r="B373" s="225"/>
      <c r="C373" s="187"/>
      <c r="D373" s="232"/>
      <c r="E373" s="221" t="str">
        <f t="shared" si="1"/>
        <v/>
      </c>
      <c r="F373" s="214"/>
      <c r="G373" s="214"/>
      <c r="H373" s="215"/>
    </row>
    <row r="374" ht="15.75" customHeight="1">
      <c r="B374" s="190"/>
      <c r="C374" s="183"/>
      <c r="D374" s="233"/>
      <c r="E374" s="173" t="str">
        <f t="shared" si="1"/>
        <v/>
      </c>
      <c r="F374" s="210"/>
      <c r="G374" s="210"/>
      <c r="H374" s="211"/>
    </row>
    <row r="375" ht="15.75" customHeight="1">
      <c r="B375" s="225"/>
      <c r="C375" s="187"/>
      <c r="D375" s="232"/>
      <c r="E375" s="221" t="str">
        <f t="shared" si="1"/>
        <v/>
      </c>
      <c r="F375" s="214"/>
      <c r="G375" s="214"/>
      <c r="H375" s="215"/>
    </row>
    <row r="376" ht="15.75" customHeight="1">
      <c r="B376" s="190"/>
      <c r="C376" s="183"/>
      <c r="D376" s="233"/>
      <c r="E376" s="173" t="str">
        <f t="shared" si="1"/>
        <v/>
      </c>
      <c r="F376" s="210"/>
      <c r="G376" s="210"/>
      <c r="H376" s="211"/>
    </row>
    <row r="377" ht="15.75" customHeight="1">
      <c r="B377" s="225"/>
      <c r="C377" s="187"/>
      <c r="D377" s="232"/>
      <c r="E377" s="221" t="str">
        <f t="shared" si="1"/>
        <v/>
      </c>
      <c r="F377" s="214"/>
      <c r="G377" s="214"/>
      <c r="H377" s="215"/>
    </row>
    <row r="378" ht="15.75" customHeight="1">
      <c r="B378" s="190"/>
      <c r="C378" s="183"/>
      <c r="D378" s="233"/>
      <c r="E378" s="173" t="str">
        <f t="shared" si="1"/>
        <v/>
      </c>
      <c r="F378" s="210"/>
      <c r="G378" s="210"/>
      <c r="H378" s="211"/>
    </row>
    <row r="379" ht="15.75" customHeight="1">
      <c r="B379" s="225"/>
      <c r="C379" s="187"/>
      <c r="D379" s="232"/>
      <c r="E379" s="221" t="str">
        <f t="shared" si="1"/>
        <v/>
      </c>
      <c r="F379" s="214"/>
      <c r="G379" s="214"/>
      <c r="H379" s="215"/>
    </row>
    <row r="380" ht="15.75" customHeight="1">
      <c r="B380" s="190"/>
      <c r="C380" s="183"/>
      <c r="D380" s="233"/>
      <c r="E380" s="173" t="str">
        <f t="shared" si="1"/>
        <v/>
      </c>
      <c r="F380" s="210"/>
      <c r="G380" s="210"/>
      <c r="H380" s="211"/>
    </row>
    <row r="381" ht="15.75" customHeight="1">
      <c r="B381" s="225"/>
      <c r="C381" s="187"/>
      <c r="D381" s="232"/>
      <c r="E381" s="221" t="str">
        <f t="shared" si="1"/>
        <v/>
      </c>
      <c r="F381" s="214"/>
      <c r="G381" s="214"/>
      <c r="H381" s="215"/>
    </row>
    <row r="382" ht="15.75" customHeight="1">
      <c r="B382" s="190"/>
      <c r="C382" s="183"/>
      <c r="D382" s="233"/>
      <c r="E382" s="173" t="str">
        <f t="shared" si="1"/>
        <v/>
      </c>
      <c r="F382" s="210"/>
      <c r="G382" s="210"/>
      <c r="H382" s="211"/>
    </row>
    <row r="383" ht="15.75" customHeight="1">
      <c r="B383" s="225"/>
      <c r="C383" s="187"/>
      <c r="D383" s="232"/>
      <c r="E383" s="221" t="str">
        <f t="shared" si="1"/>
        <v/>
      </c>
      <c r="F383" s="214"/>
      <c r="G383" s="214"/>
      <c r="H383" s="215"/>
    </row>
    <row r="384" ht="15.75" customHeight="1">
      <c r="B384" s="190"/>
      <c r="C384" s="183"/>
      <c r="D384" s="233"/>
      <c r="E384" s="173" t="str">
        <f t="shared" si="1"/>
        <v/>
      </c>
      <c r="F384" s="210"/>
      <c r="G384" s="210"/>
      <c r="H384" s="211"/>
    </row>
    <row r="385" ht="15.75" customHeight="1">
      <c r="B385" s="225"/>
      <c r="C385" s="187"/>
      <c r="D385" s="232"/>
      <c r="E385" s="221" t="str">
        <f t="shared" si="1"/>
        <v/>
      </c>
      <c r="F385" s="214"/>
      <c r="G385" s="214"/>
      <c r="H385" s="215"/>
    </row>
    <row r="386" ht="15.75" customHeight="1">
      <c r="B386" s="190"/>
      <c r="C386" s="183"/>
      <c r="D386" s="233"/>
      <c r="E386" s="173" t="str">
        <f t="shared" si="1"/>
        <v/>
      </c>
      <c r="F386" s="210"/>
      <c r="G386" s="210"/>
      <c r="H386" s="211"/>
    </row>
    <row r="387" ht="15.75" customHeight="1">
      <c r="B387" s="225"/>
      <c r="C387" s="187"/>
      <c r="D387" s="232"/>
      <c r="E387" s="221" t="str">
        <f t="shared" si="1"/>
        <v/>
      </c>
      <c r="F387" s="214"/>
      <c r="G387" s="214"/>
      <c r="H387" s="215"/>
    </row>
    <row r="388" ht="15.75" customHeight="1">
      <c r="B388" s="190"/>
      <c r="C388" s="183"/>
      <c r="D388" s="233"/>
      <c r="E388" s="173" t="str">
        <f t="shared" si="1"/>
        <v/>
      </c>
      <c r="F388" s="210"/>
      <c r="G388" s="210"/>
      <c r="H388" s="211"/>
    </row>
    <row r="389" ht="15.75" customHeight="1">
      <c r="B389" s="225"/>
      <c r="C389" s="187"/>
      <c r="D389" s="232"/>
      <c r="E389" s="221" t="str">
        <f t="shared" si="1"/>
        <v/>
      </c>
      <c r="F389" s="214"/>
      <c r="G389" s="214"/>
      <c r="H389" s="215"/>
    </row>
    <row r="390" ht="15.75" customHeight="1">
      <c r="B390" s="190"/>
      <c r="C390" s="183"/>
      <c r="D390" s="233"/>
      <c r="E390" s="173" t="str">
        <f t="shared" si="1"/>
        <v/>
      </c>
      <c r="F390" s="210"/>
      <c r="G390" s="210"/>
      <c r="H390" s="211"/>
    </row>
    <row r="391" ht="15.75" customHeight="1">
      <c r="B391" s="225"/>
      <c r="C391" s="187"/>
      <c r="D391" s="232"/>
      <c r="E391" s="221" t="str">
        <f t="shared" si="1"/>
        <v/>
      </c>
      <c r="F391" s="214"/>
      <c r="G391" s="214"/>
      <c r="H391" s="215"/>
    </row>
    <row r="392" ht="15.75" customHeight="1">
      <c r="B392" s="190"/>
      <c r="C392" s="183"/>
      <c r="D392" s="233"/>
      <c r="E392" s="173" t="str">
        <f t="shared" si="1"/>
        <v/>
      </c>
      <c r="F392" s="210"/>
      <c r="G392" s="210"/>
      <c r="H392" s="211"/>
    </row>
    <row r="393" ht="15.75" customHeight="1">
      <c r="B393" s="225"/>
      <c r="C393" s="187"/>
      <c r="D393" s="232"/>
      <c r="E393" s="221" t="str">
        <f t="shared" si="1"/>
        <v/>
      </c>
      <c r="F393" s="214"/>
      <c r="G393" s="214"/>
      <c r="H393" s="215"/>
    </row>
    <row r="394" ht="15.75" customHeight="1">
      <c r="B394" s="190"/>
      <c r="C394" s="183"/>
      <c r="D394" s="233"/>
      <c r="E394" s="173" t="str">
        <f t="shared" si="1"/>
        <v/>
      </c>
      <c r="F394" s="210"/>
      <c r="G394" s="210"/>
      <c r="H394" s="211"/>
    </row>
    <row r="395" ht="15.75" customHeight="1">
      <c r="B395" s="225"/>
      <c r="C395" s="187"/>
      <c r="D395" s="232"/>
      <c r="E395" s="221" t="str">
        <f t="shared" si="1"/>
        <v/>
      </c>
      <c r="F395" s="214"/>
      <c r="G395" s="214"/>
      <c r="H395" s="215"/>
    </row>
    <row r="396" ht="15.75" customHeight="1">
      <c r="B396" s="190"/>
      <c r="C396" s="183"/>
      <c r="D396" s="233"/>
      <c r="E396" s="173" t="str">
        <f t="shared" si="1"/>
        <v/>
      </c>
      <c r="F396" s="210"/>
      <c r="G396" s="210"/>
      <c r="H396" s="211"/>
    </row>
    <row r="397" ht="15.75" customHeight="1">
      <c r="B397" s="225"/>
      <c r="C397" s="187"/>
      <c r="D397" s="232"/>
      <c r="E397" s="221" t="str">
        <f t="shared" si="1"/>
        <v/>
      </c>
      <c r="F397" s="214"/>
      <c r="G397" s="214"/>
      <c r="H397" s="215"/>
    </row>
    <row r="398" ht="15.75" customHeight="1">
      <c r="B398" s="190"/>
      <c r="C398" s="183"/>
      <c r="D398" s="233"/>
      <c r="E398" s="173" t="str">
        <f t="shared" si="1"/>
        <v/>
      </c>
      <c r="F398" s="210"/>
      <c r="G398" s="210"/>
      <c r="H398" s="211"/>
    </row>
    <row r="399" ht="15.75" customHeight="1">
      <c r="B399" s="225"/>
      <c r="C399" s="187"/>
      <c r="D399" s="232"/>
      <c r="E399" s="221" t="str">
        <f t="shared" si="1"/>
        <v/>
      </c>
      <c r="F399" s="214"/>
      <c r="G399" s="214"/>
      <c r="H399" s="215"/>
    </row>
    <row r="400" ht="15.75" customHeight="1">
      <c r="B400" s="190"/>
      <c r="C400" s="183"/>
      <c r="D400" s="233"/>
      <c r="E400" s="173" t="str">
        <f t="shared" si="1"/>
        <v/>
      </c>
      <c r="F400" s="210"/>
      <c r="G400" s="210"/>
      <c r="H400" s="211"/>
    </row>
    <row r="401" ht="15.75" customHeight="1">
      <c r="B401" s="225"/>
      <c r="C401" s="187"/>
      <c r="D401" s="232"/>
      <c r="E401" s="221" t="str">
        <f t="shared" si="1"/>
        <v/>
      </c>
      <c r="F401" s="214"/>
      <c r="G401" s="214"/>
      <c r="H401" s="215"/>
    </row>
    <row r="402" ht="15.75" customHeight="1">
      <c r="B402" s="190"/>
      <c r="C402" s="183"/>
      <c r="D402" s="233"/>
      <c r="E402" s="173" t="str">
        <f t="shared" si="1"/>
        <v/>
      </c>
      <c r="F402" s="210"/>
      <c r="G402" s="210"/>
      <c r="H402" s="211"/>
    </row>
    <row r="403" ht="15.75" customHeight="1">
      <c r="B403" s="225"/>
      <c r="C403" s="187"/>
      <c r="D403" s="232"/>
      <c r="E403" s="221" t="str">
        <f t="shared" si="1"/>
        <v/>
      </c>
      <c r="F403" s="214"/>
      <c r="G403" s="214"/>
      <c r="H403" s="215"/>
    </row>
    <row r="404" ht="15.75" customHeight="1">
      <c r="B404" s="190"/>
      <c r="C404" s="183"/>
      <c r="D404" s="233"/>
      <c r="E404" s="173" t="str">
        <f t="shared" si="1"/>
        <v/>
      </c>
      <c r="F404" s="210"/>
      <c r="G404" s="210"/>
      <c r="H404" s="211"/>
    </row>
    <row r="405" ht="15.75" customHeight="1">
      <c r="B405" s="225"/>
      <c r="C405" s="187"/>
      <c r="D405" s="232"/>
      <c r="E405" s="221" t="str">
        <f t="shared" si="1"/>
        <v/>
      </c>
      <c r="F405" s="214"/>
      <c r="G405" s="214"/>
      <c r="H405" s="215"/>
    </row>
    <row r="406" ht="15.75" customHeight="1">
      <c r="B406" s="190"/>
      <c r="C406" s="183"/>
      <c r="D406" s="233"/>
      <c r="E406" s="173" t="str">
        <f t="shared" si="1"/>
        <v/>
      </c>
      <c r="F406" s="210"/>
      <c r="G406" s="210"/>
      <c r="H406" s="211"/>
    </row>
    <row r="407" ht="15.75" customHeight="1">
      <c r="B407" s="225"/>
      <c r="C407" s="187"/>
      <c r="D407" s="232"/>
      <c r="E407" s="221" t="str">
        <f t="shared" si="1"/>
        <v/>
      </c>
      <c r="F407" s="214"/>
      <c r="G407" s="214"/>
      <c r="H407" s="215"/>
    </row>
    <row r="408" ht="15.75" customHeight="1">
      <c r="B408" s="190"/>
      <c r="C408" s="183"/>
      <c r="D408" s="233"/>
      <c r="E408" s="173" t="str">
        <f t="shared" si="1"/>
        <v/>
      </c>
      <c r="F408" s="210"/>
      <c r="G408" s="210"/>
      <c r="H408" s="211"/>
    </row>
    <row r="409" ht="15.75" customHeight="1">
      <c r="B409" s="225"/>
      <c r="C409" s="187"/>
      <c r="D409" s="232"/>
      <c r="E409" s="221" t="str">
        <f t="shared" si="1"/>
        <v/>
      </c>
      <c r="F409" s="214"/>
      <c r="G409" s="214"/>
      <c r="H409" s="215"/>
    </row>
    <row r="410" ht="15.75" customHeight="1">
      <c r="B410" s="190"/>
      <c r="C410" s="183"/>
      <c r="D410" s="233"/>
      <c r="E410" s="173" t="str">
        <f t="shared" si="1"/>
        <v/>
      </c>
      <c r="F410" s="210"/>
      <c r="G410" s="210"/>
      <c r="H410" s="211"/>
    </row>
    <row r="411" ht="15.75" customHeight="1">
      <c r="B411" s="225"/>
      <c r="C411" s="187"/>
      <c r="D411" s="232"/>
      <c r="E411" s="221" t="str">
        <f t="shared" si="1"/>
        <v/>
      </c>
      <c r="F411" s="214"/>
      <c r="G411" s="214"/>
      <c r="H411" s="215"/>
    </row>
    <row r="412" ht="15.75" customHeight="1">
      <c r="B412" s="190"/>
      <c r="C412" s="183"/>
      <c r="D412" s="233"/>
      <c r="E412" s="173" t="str">
        <f t="shared" si="1"/>
        <v/>
      </c>
      <c r="F412" s="210"/>
      <c r="G412" s="210"/>
      <c r="H412" s="211"/>
    </row>
    <row r="413" ht="15.75" customHeight="1">
      <c r="B413" s="225"/>
      <c r="C413" s="187"/>
      <c r="D413" s="232"/>
      <c r="E413" s="221" t="str">
        <f t="shared" si="1"/>
        <v/>
      </c>
      <c r="F413" s="214"/>
      <c r="G413" s="214"/>
      <c r="H413" s="215"/>
    </row>
    <row r="414" ht="15.75" customHeight="1">
      <c r="B414" s="190"/>
      <c r="C414" s="183"/>
      <c r="D414" s="233"/>
      <c r="E414" s="173" t="str">
        <f t="shared" si="1"/>
        <v/>
      </c>
      <c r="F414" s="210"/>
      <c r="G414" s="210"/>
      <c r="H414" s="211"/>
    </row>
    <row r="415" ht="15.75" customHeight="1">
      <c r="B415" s="225"/>
      <c r="C415" s="187"/>
      <c r="D415" s="232"/>
      <c r="E415" s="221" t="str">
        <f t="shared" si="1"/>
        <v/>
      </c>
      <c r="F415" s="214"/>
      <c r="G415" s="214"/>
      <c r="H415" s="215"/>
    </row>
    <row r="416" ht="15.75" customHeight="1">
      <c r="B416" s="190"/>
      <c r="C416" s="183"/>
      <c r="D416" s="233"/>
      <c r="E416" s="173" t="str">
        <f t="shared" si="1"/>
        <v/>
      </c>
      <c r="F416" s="210"/>
      <c r="G416" s="210"/>
      <c r="H416" s="211"/>
    </row>
    <row r="417" ht="15.75" customHeight="1">
      <c r="B417" s="225"/>
      <c r="C417" s="187"/>
      <c r="D417" s="232"/>
      <c r="E417" s="221" t="str">
        <f t="shared" si="1"/>
        <v/>
      </c>
      <c r="F417" s="214"/>
      <c r="G417" s="214"/>
      <c r="H417" s="215"/>
    </row>
    <row r="418" ht="15.75" customHeight="1">
      <c r="B418" s="190"/>
      <c r="C418" s="183"/>
      <c r="D418" s="233"/>
      <c r="E418" s="173" t="str">
        <f t="shared" si="1"/>
        <v/>
      </c>
      <c r="F418" s="210"/>
      <c r="G418" s="210"/>
      <c r="H418" s="211"/>
    </row>
    <row r="419" ht="15.75" customHeight="1">
      <c r="B419" s="225"/>
      <c r="C419" s="187"/>
      <c r="D419" s="232"/>
      <c r="E419" s="221" t="str">
        <f t="shared" si="1"/>
        <v/>
      </c>
      <c r="F419" s="214"/>
      <c r="G419" s="214"/>
      <c r="H419" s="215"/>
    </row>
    <row r="420" ht="15.75" customHeight="1">
      <c r="B420" s="190"/>
      <c r="C420" s="183"/>
      <c r="D420" s="233"/>
      <c r="E420" s="173" t="str">
        <f t="shared" si="1"/>
        <v/>
      </c>
      <c r="F420" s="210"/>
      <c r="G420" s="210"/>
      <c r="H420" s="211"/>
    </row>
    <row r="421" ht="15.75" customHeight="1">
      <c r="B421" s="225"/>
      <c r="C421" s="187"/>
      <c r="D421" s="232"/>
      <c r="E421" s="221" t="str">
        <f t="shared" si="1"/>
        <v/>
      </c>
      <c r="F421" s="214"/>
      <c r="G421" s="214"/>
      <c r="H421" s="215"/>
    </row>
    <row r="422" ht="15.75" customHeight="1">
      <c r="B422" s="190"/>
      <c r="C422" s="183"/>
      <c r="D422" s="233"/>
      <c r="E422" s="173" t="str">
        <f t="shared" si="1"/>
        <v/>
      </c>
      <c r="F422" s="210"/>
      <c r="G422" s="210"/>
      <c r="H422" s="211"/>
    </row>
    <row r="423" ht="15.75" customHeight="1">
      <c r="B423" s="225"/>
      <c r="C423" s="187"/>
      <c r="D423" s="232"/>
      <c r="E423" s="221" t="str">
        <f t="shared" si="1"/>
        <v/>
      </c>
      <c r="F423" s="214"/>
      <c r="G423" s="214"/>
      <c r="H423" s="215"/>
    </row>
    <row r="424" ht="15.75" customHeight="1">
      <c r="B424" s="190"/>
      <c r="C424" s="183"/>
      <c r="D424" s="233"/>
      <c r="E424" s="173" t="str">
        <f t="shared" si="1"/>
        <v/>
      </c>
      <c r="F424" s="210"/>
      <c r="G424" s="210"/>
      <c r="H424" s="211"/>
    </row>
    <row r="425" ht="15.75" customHeight="1">
      <c r="B425" s="225"/>
      <c r="C425" s="187"/>
      <c r="D425" s="232"/>
      <c r="E425" s="221" t="str">
        <f t="shared" si="1"/>
        <v/>
      </c>
      <c r="F425" s="214"/>
      <c r="G425" s="214"/>
      <c r="H425" s="215"/>
    </row>
    <row r="426" ht="15.75" customHeight="1">
      <c r="B426" s="190"/>
      <c r="C426" s="183"/>
      <c r="D426" s="233"/>
      <c r="E426" s="173" t="str">
        <f t="shared" si="1"/>
        <v/>
      </c>
      <c r="F426" s="210"/>
      <c r="G426" s="210"/>
      <c r="H426" s="211"/>
    </row>
    <row r="427" ht="15.75" customHeight="1">
      <c r="B427" s="225"/>
      <c r="C427" s="187"/>
      <c r="D427" s="232"/>
      <c r="E427" s="221" t="str">
        <f t="shared" si="1"/>
        <v/>
      </c>
      <c r="F427" s="214"/>
      <c r="G427" s="214"/>
      <c r="H427" s="215"/>
    </row>
    <row r="428" ht="15.75" customHeight="1">
      <c r="B428" s="190"/>
      <c r="C428" s="183"/>
      <c r="D428" s="233"/>
      <c r="E428" s="173" t="str">
        <f t="shared" si="1"/>
        <v/>
      </c>
      <c r="F428" s="210"/>
      <c r="G428" s="210"/>
      <c r="H428" s="211"/>
    </row>
    <row r="429" ht="15.75" customHeight="1">
      <c r="B429" s="225"/>
      <c r="C429" s="187"/>
      <c r="D429" s="232"/>
      <c r="E429" s="221" t="str">
        <f t="shared" si="1"/>
        <v/>
      </c>
      <c r="F429" s="214"/>
      <c r="G429" s="214"/>
      <c r="H429" s="215"/>
    </row>
    <row r="430" ht="15.75" customHeight="1">
      <c r="B430" s="190"/>
      <c r="C430" s="183"/>
      <c r="D430" s="233"/>
      <c r="E430" s="173" t="str">
        <f t="shared" si="1"/>
        <v/>
      </c>
      <c r="F430" s="210"/>
      <c r="G430" s="210"/>
      <c r="H430" s="211"/>
    </row>
    <row r="431" ht="15.75" customHeight="1">
      <c r="B431" s="225"/>
      <c r="C431" s="187"/>
      <c r="D431" s="232"/>
      <c r="E431" s="221" t="str">
        <f t="shared" si="1"/>
        <v/>
      </c>
      <c r="F431" s="214"/>
      <c r="G431" s="214"/>
      <c r="H431" s="215"/>
    </row>
    <row r="432" ht="15.75" customHeight="1">
      <c r="B432" s="190"/>
      <c r="C432" s="183"/>
      <c r="D432" s="233"/>
      <c r="E432" s="173" t="str">
        <f t="shared" si="1"/>
        <v/>
      </c>
      <c r="F432" s="210"/>
      <c r="G432" s="210"/>
      <c r="H432" s="211"/>
    </row>
    <row r="433" ht="15.75" customHeight="1">
      <c r="B433" s="225"/>
      <c r="C433" s="187"/>
      <c r="D433" s="232"/>
      <c r="E433" s="221" t="str">
        <f t="shared" si="1"/>
        <v/>
      </c>
      <c r="F433" s="214"/>
      <c r="G433" s="214"/>
      <c r="H433" s="215"/>
    </row>
    <row r="434" ht="15.75" customHeight="1">
      <c r="B434" s="190"/>
      <c r="C434" s="183"/>
      <c r="D434" s="233"/>
      <c r="E434" s="173" t="str">
        <f t="shared" si="1"/>
        <v/>
      </c>
      <c r="F434" s="210"/>
      <c r="G434" s="210"/>
      <c r="H434" s="211"/>
    </row>
    <row r="435" ht="15.75" customHeight="1">
      <c r="B435" s="225"/>
      <c r="C435" s="187"/>
      <c r="D435" s="232"/>
      <c r="E435" s="221" t="str">
        <f t="shared" si="1"/>
        <v/>
      </c>
      <c r="F435" s="214"/>
      <c r="G435" s="214"/>
      <c r="H435" s="215"/>
    </row>
    <row r="436" ht="15.75" customHeight="1">
      <c r="B436" s="190"/>
      <c r="C436" s="183"/>
      <c r="D436" s="233"/>
      <c r="E436" s="173" t="str">
        <f t="shared" si="1"/>
        <v/>
      </c>
      <c r="F436" s="210"/>
      <c r="G436" s="210"/>
      <c r="H436" s="211"/>
    </row>
    <row r="437" ht="15.75" customHeight="1">
      <c r="B437" s="225"/>
      <c r="C437" s="187"/>
      <c r="D437" s="232"/>
      <c r="E437" s="221" t="str">
        <f t="shared" si="1"/>
        <v/>
      </c>
      <c r="F437" s="214"/>
      <c r="G437" s="214"/>
      <c r="H437" s="215"/>
    </row>
    <row r="438" ht="15.75" customHeight="1">
      <c r="B438" s="190"/>
      <c r="C438" s="183"/>
      <c r="D438" s="233"/>
      <c r="E438" s="173" t="str">
        <f t="shared" si="1"/>
        <v/>
      </c>
      <c r="F438" s="210"/>
      <c r="G438" s="210"/>
      <c r="H438" s="211"/>
    </row>
    <row r="439" ht="15.75" customHeight="1">
      <c r="B439" s="225"/>
      <c r="C439" s="187"/>
      <c r="D439" s="232"/>
      <c r="E439" s="221" t="str">
        <f t="shared" si="1"/>
        <v/>
      </c>
      <c r="F439" s="214"/>
      <c r="G439" s="214"/>
      <c r="H439" s="215"/>
    </row>
    <row r="440" ht="15.75" customHeight="1">
      <c r="B440" s="190"/>
      <c r="C440" s="183"/>
      <c r="D440" s="233"/>
      <c r="E440" s="173" t="str">
        <f t="shared" si="1"/>
        <v/>
      </c>
      <c r="F440" s="210"/>
      <c r="G440" s="210"/>
      <c r="H440" s="211"/>
    </row>
    <row r="441" ht="15.75" customHeight="1">
      <c r="B441" s="225"/>
      <c r="C441" s="187"/>
      <c r="D441" s="232"/>
      <c r="E441" s="221" t="str">
        <f t="shared" si="1"/>
        <v/>
      </c>
      <c r="F441" s="214"/>
      <c r="G441" s="214"/>
      <c r="H441" s="215"/>
    </row>
    <row r="442" ht="15.75" customHeight="1">
      <c r="B442" s="190"/>
      <c r="C442" s="183"/>
      <c r="D442" s="233"/>
      <c r="E442" s="173" t="str">
        <f t="shared" si="1"/>
        <v/>
      </c>
      <c r="F442" s="210"/>
      <c r="G442" s="210"/>
      <c r="H442" s="211"/>
    </row>
    <row r="443" ht="15.75" customHeight="1">
      <c r="B443" s="225"/>
      <c r="C443" s="187"/>
      <c r="D443" s="232"/>
      <c r="E443" s="221" t="str">
        <f t="shared" si="1"/>
        <v/>
      </c>
      <c r="F443" s="214"/>
      <c r="G443" s="214"/>
      <c r="H443" s="215"/>
    </row>
    <row r="444" ht="15.75" customHeight="1">
      <c r="B444" s="190"/>
      <c r="C444" s="183"/>
      <c r="D444" s="233"/>
      <c r="E444" s="173" t="str">
        <f t="shared" si="1"/>
        <v/>
      </c>
      <c r="F444" s="210"/>
      <c r="G444" s="210"/>
      <c r="H444" s="211"/>
    </row>
    <row r="445" ht="15.75" customHeight="1">
      <c r="B445" s="225"/>
      <c r="C445" s="187"/>
      <c r="D445" s="232"/>
      <c r="E445" s="221" t="str">
        <f t="shared" si="1"/>
        <v/>
      </c>
      <c r="F445" s="214"/>
      <c r="G445" s="214"/>
      <c r="H445" s="215"/>
    </row>
    <row r="446" ht="15.75" customHeight="1">
      <c r="B446" s="190"/>
      <c r="C446" s="183"/>
      <c r="D446" s="233"/>
      <c r="E446" s="173" t="str">
        <f t="shared" si="1"/>
        <v/>
      </c>
      <c r="F446" s="210"/>
      <c r="G446" s="210"/>
      <c r="H446" s="211"/>
    </row>
    <row r="447" ht="15.75" customHeight="1">
      <c r="B447" s="225"/>
      <c r="C447" s="187"/>
      <c r="D447" s="232"/>
      <c r="E447" s="221" t="str">
        <f t="shared" si="1"/>
        <v/>
      </c>
      <c r="F447" s="214"/>
      <c r="G447" s="214"/>
      <c r="H447" s="215"/>
    </row>
    <row r="448" ht="15.75" customHeight="1">
      <c r="B448" s="190"/>
      <c r="C448" s="183"/>
      <c r="D448" s="233"/>
      <c r="E448" s="173" t="str">
        <f t="shared" si="1"/>
        <v/>
      </c>
      <c r="F448" s="210"/>
      <c r="G448" s="210"/>
      <c r="H448" s="211"/>
    </row>
    <row r="449" ht="15.75" customHeight="1">
      <c r="B449" s="225"/>
      <c r="C449" s="187"/>
      <c r="D449" s="232"/>
      <c r="E449" s="221" t="str">
        <f t="shared" si="1"/>
        <v/>
      </c>
      <c r="F449" s="214"/>
      <c r="G449" s="214"/>
      <c r="H449" s="215"/>
    </row>
    <row r="450" ht="15.75" customHeight="1">
      <c r="B450" s="190"/>
      <c r="C450" s="183"/>
      <c r="D450" s="233"/>
      <c r="E450" s="173" t="str">
        <f t="shared" si="1"/>
        <v/>
      </c>
      <c r="F450" s="210"/>
      <c r="G450" s="210"/>
      <c r="H450" s="211"/>
    </row>
    <row r="451" ht="15.75" customHeight="1">
      <c r="B451" s="225"/>
      <c r="C451" s="187"/>
      <c r="D451" s="232"/>
      <c r="E451" s="221" t="str">
        <f t="shared" si="1"/>
        <v/>
      </c>
      <c r="F451" s="214"/>
      <c r="G451" s="214"/>
      <c r="H451" s="215"/>
    </row>
    <row r="452" ht="15.75" customHeight="1">
      <c r="B452" s="190"/>
      <c r="C452" s="183"/>
      <c r="D452" s="233"/>
      <c r="E452" s="173" t="str">
        <f t="shared" si="1"/>
        <v/>
      </c>
      <c r="F452" s="210"/>
      <c r="G452" s="210"/>
      <c r="H452" s="211"/>
    </row>
    <row r="453" ht="15.75" customHeight="1">
      <c r="B453" s="225"/>
      <c r="C453" s="187"/>
      <c r="D453" s="232"/>
      <c r="E453" s="221" t="str">
        <f t="shared" si="1"/>
        <v/>
      </c>
      <c r="F453" s="214"/>
      <c r="G453" s="214"/>
      <c r="H453" s="215"/>
    </row>
    <row r="454" ht="15.75" customHeight="1">
      <c r="B454" s="190"/>
      <c r="C454" s="183"/>
      <c r="D454" s="233"/>
      <c r="E454" s="173" t="str">
        <f t="shared" si="1"/>
        <v/>
      </c>
      <c r="F454" s="210"/>
      <c r="G454" s="210"/>
      <c r="H454" s="211"/>
    </row>
    <row r="455" ht="15.75" customHeight="1">
      <c r="B455" s="225"/>
      <c r="C455" s="187"/>
      <c r="D455" s="232"/>
      <c r="E455" s="221" t="str">
        <f t="shared" si="1"/>
        <v/>
      </c>
      <c r="F455" s="214"/>
      <c r="G455" s="214"/>
      <c r="H455" s="215"/>
    </row>
    <row r="456" ht="15.75" customHeight="1">
      <c r="B456" s="190"/>
      <c r="C456" s="183"/>
      <c r="D456" s="233"/>
      <c r="E456" s="173" t="str">
        <f t="shared" si="1"/>
        <v/>
      </c>
      <c r="F456" s="210"/>
      <c r="G456" s="210"/>
      <c r="H456" s="211"/>
    </row>
    <row r="457" ht="15.75" customHeight="1">
      <c r="B457" s="225"/>
      <c r="C457" s="187"/>
      <c r="D457" s="232"/>
      <c r="E457" s="221" t="str">
        <f t="shared" si="1"/>
        <v/>
      </c>
      <c r="F457" s="214"/>
      <c r="G457" s="214"/>
      <c r="H457" s="215"/>
    </row>
    <row r="458" ht="15.75" customHeight="1">
      <c r="B458" s="190"/>
      <c r="C458" s="183"/>
      <c r="D458" s="233"/>
      <c r="E458" s="173" t="str">
        <f t="shared" si="1"/>
        <v/>
      </c>
      <c r="F458" s="210"/>
      <c r="G458" s="210"/>
      <c r="H458" s="211"/>
    </row>
    <row r="459" ht="15.75" customHeight="1">
      <c r="B459" s="225"/>
      <c r="C459" s="187"/>
      <c r="D459" s="232"/>
      <c r="E459" s="221" t="str">
        <f t="shared" si="1"/>
        <v/>
      </c>
      <c r="F459" s="214"/>
      <c r="G459" s="214"/>
      <c r="H459" s="215"/>
    </row>
    <row r="460" ht="15.75" customHeight="1">
      <c r="B460" s="190"/>
      <c r="C460" s="183"/>
      <c r="D460" s="233"/>
      <c r="E460" s="173" t="str">
        <f t="shared" si="1"/>
        <v/>
      </c>
      <c r="F460" s="210"/>
      <c r="G460" s="210"/>
      <c r="H460" s="211"/>
    </row>
    <row r="461" ht="15.75" customHeight="1">
      <c r="B461" s="225"/>
      <c r="C461" s="187"/>
      <c r="D461" s="232"/>
      <c r="E461" s="221" t="str">
        <f t="shared" si="1"/>
        <v/>
      </c>
      <c r="F461" s="214"/>
      <c r="G461" s="214"/>
      <c r="H461" s="215"/>
    </row>
    <row r="462" ht="15.75" customHeight="1">
      <c r="B462" s="190"/>
      <c r="C462" s="183"/>
      <c r="D462" s="233"/>
      <c r="E462" s="173" t="str">
        <f t="shared" si="1"/>
        <v/>
      </c>
      <c r="F462" s="210"/>
      <c r="G462" s="210"/>
      <c r="H462" s="211"/>
    </row>
    <row r="463" ht="15.75" customHeight="1">
      <c r="B463" s="225"/>
      <c r="C463" s="187"/>
      <c r="D463" s="232"/>
      <c r="E463" s="221" t="str">
        <f t="shared" si="1"/>
        <v/>
      </c>
      <c r="F463" s="214"/>
      <c r="G463" s="214"/>
      <c r="H463" s="215"/>
    </row>
    <row r="464" ht="15.75" customHeight="1">
      <c r="B464" s="190"/>
      <c r="C464" s="183"/>
      <c r="D464" s="233"/>
      <c r="E464" s="173" t="str">
        <f t="shared" si="1"/>
        <v/>
      </c>
      <c r="F464" s="210"/>
      <c r="G464" s="210"/>
      <c r="H464" s="211"/>
    </row>
    <row r="465" ht="15.75" customHeight="1">
      <c r="B465" s="225"/>
      <c r="C465" s="187"/>
      <c r="D465" s="232"/>
      <c r="E465" s="221" t="str">
        <f t="shared" si="1"/>
        <v/>
      </c>
      <c r="F465" s="214"/>
      <c r="G465" s="214"/>
      <c r="H465" s="215"/>
    </row>
    <row r="466" ht="15.75" customHeight="1">
      <c r="B466" s="190"/>
      <c r="C466" s="183"/>
      <c r="D466" s="233"/>
      <c r="E466" s="173" t="str">
        <f t="shared" si="1"/>
        <v/>
      </c>
      <c r="F466" s="210"/>
      <c r="G466" s="210"/>
      <c r="H466" s="211"/>
    </row>
    <row r="467" ht="15.75" customHeight="1">
      <c r="B467" s="225"/>
      <c r="C467" s="187"/>
      <c r="D467" s="232"/>
      <c r="E467" s="221" t="str">
        <f t="shared" si="1"/>
        <v/>
      </c>
      <c r="F467" s="214"/>
      <c r="G467" s="214"/>
      <c r="H467" s="215"/>
    </row>
    <row r="468" ht="15.75" customHeight="1">
      <c r="B468" s="190"/>
      <c r="C468" s="183"/>
      <c r="D468" s="233"/>
      <c r="E468" s="173" t="str">
        <f t="shared" si="1"/>
        <v/>
      </c>
      <c r="F468" s="210"/>
      <c r="G468" s="210"/>
      <c r="H468" s="211"/>
    </row>
    <row r="469" ht="15.75" customHeight="1">
      <c r="B469" s="225"/>
      <c r="C469" s="187"/>
      <c r="D469" s="232"/>
      <c r="E469" s="221" t="str">
        <f t="shared" si="1"/>
        <v/>
      </c>
      <c r="F469" s="214"/>
      <c r="G469" s="214"/>
      <c r="H469" s="215"/>
    </row>
    <row r="470" ht="15.75" customHeight="1">
      <c r="B470" s="190"/>
      <c r="C470" s="183"/>
      <c r="D470" s="233"/>
      <c r="E470" s="173" t="str">
        <f t="shared" si="1"/>
        <v/>
      </c>
      <c r="F470" s="210"/>
      <c r="G470" s="210"/>
      <c r="H470" s="211"/>
    </row>
    <row r="471" ht="15.75" customHeight="1">
      <c r="B471" s="225"/>
      <c r="C471" s="187"/>
      <c r="D471" s="232"/>
      <c r="E471" s="221" t="str">
        <f t="shared" si="1"/>
        <v/>
      </c>
      <c r="F471" s="214"/>
      <c r="G471" s="214"/>
      <c r="H471" s="215"/>
    </row>
    <row r="472" ht="15.75" customHeight="1">
      <c r="B472" s="190"/>
      <c r="C472" s="183"/>
      <c r="D472" s="233"/>
      <c r="E472" s="173" t="str">
        <f t="shared" si="1"/>
        <v/>
      </c>
      <c r="F472" s="210"/>
      <c r="G472" s="210"/>
      <c r="H472" s="211"/>
    </row>
    <row r="473" ht="15.75" customHeight="1">
      <c r="B473" s="225"/>
      <c r="C473" s="187"/>
      <c r="D473" s="232"/>
      <c r="E473" s="221" t="str">
        <f t="shared" si="1"/>
        <v/>
      </c>
      <c r="F473" s="214"/>
      <c r="G473" s="214"/>
      <c r="H473" s="215"/>
    </row>
    <row r="474" ht="15.75" customHeight="1">
      <c r="B474" s="190"/>
      <c r="C474" s="183"/>
      <c r="D474" s="233"/>
      <c r="E474" s="173" t="str">
        <f t="shared" si="1"/>
        <v/>
      </c>
      <c r="F474" s="210"/>
      <c r="G474" s="210"/>
      <c r="H474" s="211"/>
    </row>
    <row r="475" ht="15.75" customHeight="1">
      <c r="B475" s="225"/>
      <c r="C475" s="187"/>
      <c r="D475" s="232"/>
      <c r="E475" s="221" t="str">
        <f t="shared" si="1"/>
        <v/>
      </c>
      <c r="F475" s="214"/>
      <c r="G475" s="214"/>
      <c r="H475" s="215"/>
    </row>
    <row r="476" ht="15.75" customHeight="1">
      <c r="B476" s="190"/>
      <c r="C476" s="183"/>
      <c r="D476" s="233"/>
      <c r="E476" s="173" t="str">
        <f t="shared" si="1"/>
        <v/>
      </c>
      <c r="F476" s="210"/>
      <c r="G476" s="210"/>
      <c r="H476" s="211"/>
    </row>
    <row r="477" ht="15.75" customHeight="1">
      <c r="B477" s="225"/>
      <c r="C477" s="187"/>
      <c r="D477" s="232"/>
      <c r="E477" s="221" t="str">
        <f t="shared" si="1"/>
        <v/>
      </c>
      <c r="F477" s="214"/>
      <c r="G477" s="214"/>
      <c r="H477" s="215"/>
    </row>
    <row r="478" ht="15.75" customHeight="1">
      <c r="B478" s="190"/>
      <c r="C478" s="183"/>
      <c r="D478" s="233"/>
      <c r="E478" s="173" t="str">
        <f t="shared" si="1"/>
        <v/>
      </c>
      <c r="F478" s="210"/>
      <c r="G478" s="210"/>
      <c r="H478" s="211"/>
    </row>
    <row r="479" ht="15.75" customHeight="1">
      <c r="B479" s="225"/>
      <c r="C479" s="187"/>
      <c r="D479" s="232"/>
      <c r="E479" s="221" t="str">
        <f t="shared" si="1"/>
        <v/>
      </c>
      <c r="F479" s="214"/>
      <c r="G479" s="214"/>
      <c r="H479" s="215"/>
    </row>
    <row r="480" ht="15.75" customHeight="1">
      <c r="B480" s="190"/>
      <c r="C480" s="183"/>
      <c r="D480" s="233"/>
      <c r="E480" s="173" t="str">
        <f t="shared" si="1"/>
        <v/>
      </c>
      <c r="F480" s="210"/>
      <c r="G480" s="210"/>
      <c r="H480" s="211"/>
    </row>
    <row r="481" ht="15.75" customHeight="1">
      <c r="B481" s="225"/>
      <c r="C481" s="187"/>
      <c r="D481" s="232"/>
      <c r="E481" s="221" t="str">
        <f t="shared" si="1"/>
        <v/>
      </c>
      <c r="F481" s="214"/>
      <c r="G481" s="214"/>
      <c r="H481" s="215"/>
    </row>
    <row r="482" ht="15.75" customHeight="1">
      <c r="B482" s="190"/>
      <c r="C482" s="183"/>
      <c r="D482" s="233"/>
      <c r="E482" s="173" t="str">
        <f t="shared" si="1"/>
        <v/>
      </c>
      <c r="F482" s="210"/>
      <c r="G482" s="210"/>
      <c r="H482" s="211"/>
    </row>
    <row r="483" ht="15.75" customHeight="1">
      <c r="B483" s="225"/>
      <c r="C483" s="187"/>
      <c r="D483" s="232"/>
      <c r="E483" s="221" t="str">
        <f t="shared" si="1"/>
        <v/>
      </c>
      <c r="F483" s="214"/>
      <c r="G483" s="214"/>
      <c r="H483" s="215"/>
    </row>
    <row r="484" ht="15.75" customHeight="1">
      <c r="B484" s="190"/>
      <c r="C484" s="183"/>
      <c r="D484" s="233"/>
      <c r="E484" s="173" t="str">
        <f t="shared" si="1"/>
        <v/>
      </c>
      <c r="F484" s="210"/>
      <c r="G484" s="210"/>
      <c r="H484" s="211"/>
    </row>
    <row r="485" ht="15.75" customHeight="1">
      <c r="B485" s="225"/>
      <c r="C485" s="187"/>
      <c r="D485" s="232"/>
      <c r="E485" s="221" t="str">
        <f t="shared" si="1"/>
        <v/>
      </c>
      <c r="F485" s="214"/>
      <c r="G485" s="214"/>
      <c r="H485" s="215"/>
    </row>
    <row r="486" ht="15.75" customHeight="1">
      <c r="B486" s="190"/>
      <c r="C486" s="183"/>
      <c r="D486" s="233"/>
      <c r="E486" s="173" t="str">
        <f t="shared" si="1"/>
        <v/>
      </c>
      <c r="F486" s="210"/>
      <c r="G486" s="210"/>
      <c r="H486" s="211"/>
    </row>
    <row r="487" ht="15.75" customHeight="1">
      <c r="B487" s="225"/>
      <c r="C487" s="187"/>
      <c r="D487" s="232"/>
      <c r="E487" s="221" t="str">
        <f t="shared" si="1"/>
        <v/>
      </c>
      <c r="F487" s="214"/>
      <c r="G487" s="214"/>
      <c r="H487" s="215"/>
    </row>
    <row r="488" ht="15.75" customHeight="1">
      <c r="B488" s="190"/>
      <c r="C488" s="183"/>
      <c r="D488" s="233"/>
      <c r="E488" s="173" t="str">
        <f t="shared" si="1"/>
        <v/>
      </c>
      <c r="F488" s="210"/>
      <c r="G488" s="210"/>
      <c r="H488" s="211"/>
    </row>
    <row r="489" ht="15.75" customHeight="1">
      <c r="B489" s="225"/>
      <c r="C489" s="187"/>
      <c r="D489" s="232"/>
      <c r="E489" s="221" t="str">
        <f t="shared" si="1"/>
        <v/>
      </c>
      <c r="F489" s="214"/>
      <c r="G489" s="214"/>
      <c r="H489" s="215"/>
    </row>
    <row r="490" ht="15.75" customHeight="1">
      <c r="B490" s="190"/>
      <c r="C490" s="183"/>
      <c r="D490" s="233"/>
      <c r="E490" s="173" t="str">
        <f t="shared" si="1"/>
        <v/>
      </c>
      <c r="F490" s="210"/>
      <c r="G490" s="210"/>
      <c r="H490" s="211"/>
    </row>
    <row r="491" ht="15.75" customHeight="1">
      <c r="B491" s="225"/>
      <c r="C491" s="187"/>
      <c r="D491" s="232"/>
      <c r="E491" s="221" t="str">
        <f t="shared" si="1"/>
        <v/>
      </c>
      <c r="F491" s="214"/>
      <c r="G491" s="214"/>
      <c r="H491" s="215"/>
    </row>
    <row r="492" ht="15.75" customHeight="1">
      <c r="B492" s="190"/>
      <c r="C492" s="183"/>
      <c r="D492" s="233"/>
      <c r="E492" s="173" t="str">
        <f t="shared" si="1"/>
        <v/>
      </c>
      <c r="F492" s="210"/>
      <c r="G492" s="210"/>
      <c r="H492" s="211"/>
    </row>
    <row r="493" ht="15.75" customHeight="1">
      <c r="B493" s="225"/>
      <c r="C493" s="187"/>
      <c r="D493" s="232"/>
      <c r="E493" s="221" t="str">
        <f t="shared" si="1"/>
        <v/>
      </c>
      <c r="F493" s="214"/>
      <c r="G493" s="214"/>
      <c r="H493" s="215"/>
    </row>
    <row r="494" ht="15.75" customHeight="1">
      <c r="B494" s="190"/>
      <c r="C494" s="183"/>
      <c r="D494" s="233"/>
      <c r="E494" s="173" t="str">
        <f t="shared" si="1"/>
        <v/>
      </c>
      <c r="F494" s="210"/>
      <c r="G494" s="210"/>
      <c r="H494" s="211"/>
    </row>
    <row r="495" ht="15.75" customHeight="1">
      <c r="B495" s="225"/>
      <c r="C495" s="187"/>
      <c r="D495" s="232"/>
      <c r="E495" s="221" t="str">
        <f t="shared" si="1"/>
        <v/>
      </c>
      <c r="F495" s="214"/>
      <c r="G495" s="214"/>
      <c r="H495" s="215"/>
    </row>
    <row r="496" ht="15.75" customHeight="1">
      <c r="B496" s="190"/>
      <c r="C496" s="183"/>
      <c r="D496" s="233"/>
      <c r="E496" s="173" t="str">
        <f t="shared" si="1"/>
        <v/>
      </c>
      <c r="F496" s="210"/>
      <c r="G496" s="210"/>
      <c r="H496" s="211"/>
    </row>
    <row r="497" ht="15.75" customHeight="1">
      <c r="B497" s="225"/>
      <c r="C497" s="187"/>
      <c r="D497" s="232"/>
      <c r="E497" s="221" t="str">
        <f t="shared" si="1"/>
        <v/>
      </c>
      <c r="F497" s="214"/>
      <c r="G497" s="214"/>
      <c r="H497" s="215"/>
    </row>
    <row r="498" ht="15.75" customHeight="1">
      <c r="B498" s="190"/>
      <c r="C498" s="183"/>
      <c r="D498" s="233"/>
      <c r="E498" s="173" t="str">
        <f t="shared" si="1"/>
        <v/>
      </c>
      <c r="F498" s="210"/>
      <c r="G498" s="210"/>
      <c r="H498" s="211"/>
    </row>
    <row r="499" ht="15.75" customHeight="1">
      <c r="B499" s="225"/>
      <c r="C499" s="187"/>
      <c r="D499" s="232"/>
      <c r="E499" s="221" t="str">
        <f t="shared" si="1"/>
        <v/>
      </c>
      <c r="F499" s="214"/>
      <c r="G499" s="214"/>
      <c r="H499" s="215"/>
    </row>
    <row r="500" ht="15.75" customHeight="1">
      <c r="B500" s="190"/>
      <c r="C500" s="183"/>
      <c r="D500" s="233"/>
      <c r="E500" s="173" t="str">
        <f t="shared" si="1"/>
        <v/>
      </c>
      <c r="F500" s="210"/>
      <c r="G500" s="210"/>
      <c r="H500" s="211"/>
    </row>
    <row r="501" ht="15.75" customHeight="1">
      <c r="B501" s="225"/>
      <c r="C501" s="187"/>
      <c r="D501" s="232"/>
      <c r="E501" s="221" t="str">
        <f t="shared" si="1"/>
        <v/>
      </c>
      <c r="F501" s="214"/>
      <c r="G501" s="214"/>
      <c r="H501" s="215"/>
    </row>
    <row r="502" ht="15.75" customHeight="1">
      <c r="B502" s="190"/>
      <c r="C502" s="183"/>
      <c r="D502" s="233"/>
      <c r="E502" s="173" t="str">
        <f t="shared" si="1"/>
        <v/>
      </c>
      <c r="F502" s="210"/>
      <c r="G502" s="210"/>
      <c r="H502" s="211"/>
    </row>
    <row r="503" ht="15.75" customHeight="1">
      <c r="B503" s="225"/>
      <c r="C503" s="187"/>
      <c r="D503" s="232"/>
      <c r="E503" s="221" t="str">
        <f t="shared" si="1"/>
        <v/>
      </c>
      <c r="F503" s="214"/>
      <c r="G503" s="214"/>
      <c r="H503" s="215"/>
    </row>
    <row r="504" ht="15.75" customHeight="1">
      <c r="B504" s="190"/>
      <c r="C504" s="183"/>
      <c r="D504" s="233"/>
      <c r="E504" s="173" t="str">
        <f t="shared" si="1"/>
        <v/>
      </c>
      <c r="F504" s="210"/>
      <c r="G504" s="210"/>
      <c r="H504" s="211"/>
    </row>
    <row r="505" ht="15.75" customHeight="1">
      <c r="B505" s="225"/>
      <c r="C505" s="187"/>
      <c r="D505" s="232"/>
      <c r="E505" s="221" t="str">
        <f t="shared" si="1"/>
        <v/>
      </c>
      <c r="F505" s="214"/>
      <c r="G505" s="214"/>
      <c r="H505" s="215"/>
    </row>
    <row r="506" ht="15.75" customHeight="1">
      <c r="B506" s="190"/>
      <c r="C506" s="183"/>
      <c r="D506" s="233"/>
      <c r="E506" s="173" t="str">
        <f t="shared" si="1"/>
        <v/>
      </c>
      <c r="F506" s="210"/>
      <c r="G506" s="210"/>
      <c r="H506" s="211"/>
    </row>
    <row r="507" ht="15.75" customHeight="1">
      <c r="B507" s="225"/>
      <c r="C507" s="187"/>
      <c r="D507" s="232"/>
      <c r="E507" s="221" t="str">
        <f t="shared" si="1"/>
        <v/>
      </c>
      <c r="F507" s="214"/>
      <c r="G507" s="214"/>
      <c r="H507" s="215"/>
    </row>
    <row r="508" ht="15.75" customHeight="1">
      <c r="B508" s="190"/>
      <c r="C508" s="183"/>
      <c r="D508" s="233"/>
      <c r="E508" s="173" t="str">
        <f t="shared" si="1"/>
        <v/>
      </c>
      <c r="F508" s="210"/>
      <c r="G508" s="210"/>
      <c r="H508" s="211"/>
    </row>
    <row r="509" ht="15.75" customHeight="1">
      <c r="B509" s="225"/>
      <c r="C509" s="187"/>
      <c r="D509" s="232"/>
      <c r="E509" s="221" t="str">
        <f t="shared" si="1"/>
        <v/>
      </c>
      <c r="F509" s="214"/>
      <c r="G509" s="214"/>
      <c r="H509" s="215"/>
    </row>
    <row r="510" ht="15.75" customHeight="1">
      <c r="B510" s="190"/>
      <c r="C510" s="183"/>
      <c r="D510" s="233"/>
      <c r="E510" s="173" t="str">
        <f t="shared" si="1"/>
        <v/>
      </c>
      <c r="F510" s="210"/>
      <c r="G510" s="210"/>
      <c r="H510" s="211"/>
    </row>
    <row r="511" ht="15.75" customHeight="1">
      <c r="B511" s="225"/>
      <c r="C511" s="187"/>
      <c r="D511" s="232"/>
      <c r="E511" s="221" t="str">
        <f t="shared" si="1"/>
        <v/>
      </c>
      <c r="F511" s="214"/>
      <c r="G511" s="214"/>
      <c r="H511" s="215"/>
    </row>
    <row r="512" ht="15.75" customHeight="1">
      <c r="B512" s="190"/>
      <c r="C512" s="183"/>
      <c r="D512" s="233"/>
      <c r="E512" s="173" t="str">
        <f t="shared" si="1"/>
        <v/>
      </c>
      <c r="F512" s="210"/>
      <c r="G512" s="210"/>
      <c r="H512" s="211"/>
    </row>
    <row r="513" ht="15.75" customHeight="1">
      <c r="B513" s="225"/>
      <c r="C513" s="187"/>
      <c r="D513" s="232"/>
      <c r="E513" s="221" t="str">
        <f t="shared" si="1"/>
        <v/>
      </c>
      <c r="F513" s="214"/>
      <c r="G513" s="214"/>
      <c r="H513" s="215"/>
    </row>
    <row r="514" ht="15.75" customHeight="1">
      <c r="B514" s="190"/>
      <c r="C514" s="183"/>
      <c r="D514" s="233"/>
      <c r="E514" s="173" t="str">
        <f t="shared" si="1"/>
        <v/>
      </c>
      <c r="F514" s="210"/>
      <c r="G514" s="210"/>
      <c r="H514" s="211"/>
    </row>
    <row r="515" ht="15.75" customHeight="1">
      <c r="B515" s="225"/>
      <c r="C515" s="187"/>
      <c r="D515" s="232"/>
      <c r="E515" s="221" t="str">
        <f t="shared" si="1"/>
        <v/>
      </c>
      <c r="F515" s="214"/>
      <c r="G515" s="214"/>
      <c r="H515" s="215"/>
    </row>
    <row r="516" ht="15.75" customHeight="1">
      <c r="B516" s="190"/>
      <c r="C516" s="183"/>
      <c r="D516" s="233"/>
      <c r="E516" s="173" t="str">
        <f t="shared" si="1"/>
        <v/>
      </c>
      <c r="F516" s="210"/>
      <c r="G516" s="210"/>
      <c r="H516" s="211"/>
    </row>
    <row r="517" ht="15.75" customHeight="1">
      <c r="B517" s="225"/>
      <c r="C517" s="187"/>
      <c r="D517" s="232"/>
      <c r="E517" s="221" t="str">
        <f t="shared" si="1"/>
        <v/>
      </c>
      <c r="F517" s="214"/>
      <c r="G517" s="214"/>
      <c r="H517" s="215"/>
    </row>
    <row r="518" ht="15.75" customHeight="1">
      <c r="B518" s="190"/>
      <c r="C518" s="183"/>
      <c r="D518" s="233"/>
      <c r="E518" s="173" t="str">
        <f t="shared" si="1"/>
        <v/>
      </c>
      <c r="F518" s="210"/>
      <c r="G518" s="210"/>
      <c r="H518" s="211"/>
    </row>
    <row r="519" ht="15.75" customHeight="1">
      <c r="B519" s="225"/>
      <c r="C519" s="187"/>
      <c r="D519" s="232"/>
      <c r="E519" s="221" t="str">
        <f t="shared" si="1"/>
        <v/>
      </c>
      <c r="F519" s="214"/>
      <c r="G519" s="214"/>
      <c r="H519" s="215"/>
    </row>
    <row r="520" ht="15.75" customHeight="1">
      <c r="B520" s="190"/>
      <c r="C520" s="183"/>
      <c r="D520" s="233"/>
      <c r="E520" s="173" t="str">
        <f t="shared" si="1"/>
        <v/>
      </c>
      <c r="F520" s="210"/>
      <c r="G520" s="210"/>
      <c r="H520" s="211"/>
    </row>
    <row r="521" ht="15.75" customHeight="1">
      <c r="B521" s="225"/>
      <c r="C521" s="187"/>
      <c r="D521" s="232"/>
      <c r="E521" s="221" t="str">
        <f t="shared" si="1"/>
        <v/>
      </c>
      <c r="F521" s="214"/>
      <c r="G521" s="214"/>
      <c r="H521" s="215"/>
    </row>
    <row r="522" ht="15.75" customHeight="1">
      <c r="B522" s="190"/>
      <c r="C522" s="183"/>
      <c r="D522" s="233"/>
      <c r="E522" s="173" t="str">
        <f t="shared" si="1"/>
        <v/>
      </c>
      <c r="F522" s="210"/>
      <c r="G522" s="210"/>
      <c r="H522" s="211"/>
    </row>
    <row r="523" ht="15.75" customHeight="1">
      <c r="B523" s="225"/>
      <c r="C523" s="187"/>
      <c r="D523" s="232"/>
      <c r="E523" s="221" t="str">
        <f t="shared" si="1"/>
        <v/>
      </c>
      <c r="F523" s="214"/>
      <c r="G523" s="214"/>
      <c r="H523" s="215"/>
    </row>
    <row r="524" ht="15.75" customHeight="1">
      <c r="B524" s="190"/>
      <c r="C524" s="183"/>
      <c r="D524" s="233"/>
      <c r="E524" s="173" t="str">
        <f t="shared" si="1"/>
        <v/>
      </c>
      <c r="F524" s="210"/>
      <c r="G524" s="210"/>
      <c r="H524" s="211"/>
    </row>
    <row r="525" ht="15.75" customHeight="1">
      <c r="B525" s="225"/>
      <c r="C525" s="187"/>
      <c r="D525" s="232"/>
      <c r="E525" s="221" t="str">
        <f t="shared" si="1"/>
        <v/>
      </c>
      <c r="F525" s="214"/>
      <c r="G525" s="214"/>
      <c r="H525" s="215"/>
    </row>
    <row r="526" ht="15.75" customHeight="1">
      <c r="B526" s="190"/>
      <c r="C526" s="183"/>
      <c r="D526" s="233"/>
      <c r="E526" s="173" t="str">
        <f t="shared" si="1"/>
        <v/>
      </c>
      <c r="F526" s="210"/>
      <c r="G526" s="210"/>
      <c r="H526" s="211"/>
    </row>
    <row r="527" ht="15.75" customHeight="1">
      <c r="B527" s="225"/>
      <c r="C527" s="187"/>
      <c r="D527" s="232"/>
      <c r="E527" s="221" t="str">
        <f t="shared" si="1"/>
        <v/>
      </c>
      <c r="F527" s="214"/>
      <c r="G527" s="214"/>
      <c r="H527" s="215"/>
    </row>
    <row r="528" ht="15.75" customHeight="1">
      <c r="B528" s="190"/>
      <c r="C528" s="183"/>
      <c r="D528" s="233"/>
      <c r="E528" s="173" t="str">
        <f t="shared" si="1"/>
        <v/>
      </c>
      <c r="F528" s="210"/>
      <c r="G528" s="210"/>
      <c r="H528" s="211"/>
    </row>
    <row r="529" ht="15.75" customHeight="1">
      <c r="B529" s="225"/>
      <c r="C529" s="187"/>
      <c r="D529" s="232"/>
      <c r="E529" s="221" t="str">
        <f t="shared" si="1"/>
        <v/>
      </c>
      <c r="F529" s="214"/>
      <c r="G529" s="214"/>
      <c r="H529" s="215"/>
    </row>
    <row r="530" ht="15.75" customHeight="1">
      <c r="B530" s="190"/>
      <c r="C530" s="183"/>
      <c r="D530" s="233"/>
      <c r="E530" s="173" t="str">
        <f t="shared" si="1"/>
        <v/>
      </c>
      <c r="F530" s="210"/>
      <c r="G530" s="210"/>
      <c r="H530" s="211"/>
    </row>
    <row r="531" ht="15.75" customHeight="1">
      <c r="B531" s="225"/>
      <c r="C531" s="187"/>
      <c r="D531" s="232"/>
      <c r="E531" s="221" t="str">
        <f t="shared" si="1"/>
        <v/>
      </c>
      <c r="F531" s="214"/>
      <c r="G531" s="214"/>
      <c r="H531" s="215"/>
    </row>
    <row r="532" ht="15.75" customHeight="1">
      <c r="B532" s="190"/>
      <c r="C532" s="183"/>
      <c r="D532" s="233"/>
      <c r="E532" s="173" t="str">
        <f t="shared" si="1"/>
        <v/>
      </c>
      <c r="F532" s="210"/>
      <c r="G532" s="210"/>
      <c r="H532" s="211"/>
    </row>
    <row r="533" ht="15.75" customHeight="1">
      <c r="B533" s="225"/>
      <c r="C533" s="187"/>
      <c r="D533" s="232"/>
      <c r="E533" s="221" t="str">
        <f t="shared" si="1"/>
        <v/>
      </c>
      <c r="F533" s="214"/>
      <c r="G533" s="214"/>
      <c r="H533" s="215"/>
    </row>
    <row r="534" ht="15.75" customHeight="1">
      <c r="B534" s="190"/>
      <c r="C534" s="183"/>
      <c r="D534" s="233"/>
      <c r="E534" s="173" t="str">
        <f t="shared" si="1"/>
        <v/>
      </c>
      <c r="F534" s="210"/>
      <c r="G534" s="210"/>
      <c r="H534" s="211"/>
    </row>
    <row r="535" ht="15.75" customHeight="1">
      <c r="B535" s="225"/>
      <c r="C535" s="187"/>
      <c r="D535" s="232"/>
      <c r="E535" s="221" t="str">
        <f t="shared" si="1"/>
        <v/>
      </c>
      <c r="F535" s="214"/>
      <c r="G535" s="214"/>
      <c r="H535" s="215"/>
    </row>
    <row r="536" ht="15.75" customHeight="1">
      <c r="B536" s="190"/>
      <c r="C536" s="183"/>
      <c r="D536" s="233"/>
      <c r="E536" s="173" t="str">
        <f t="shared" si="1"/>
        <v/>
      </c>
      <c r="F536" s="210"/>
      <c r="G536" s="210"/>
      <c r="H536" s="211"/>
    </row>
    <row r="537" ht="15.75" customHeight="1">
      <c r="B537" s="225"/>
      <c r="C537" s="187"/>
      <c r="D537" s="232"/>
      <c r="E537" s="221" t="str">
        <f t="shared" si="1"/>
        <v/>
      </c>
      <c r="F537" s="214"/>
      <c r="G537" s="214"/>
      <c r="H537" s="215"/>
    </row>
    <row r="538" ht="15.75" customHeight="1">
      <c r="B538" s="190"/>
      <c r="C538" s="183"/>
      <c r="D538" s="233"/>
      <c r="E538" s="173" t="str">
        <f t="shared" si="1"/>
        <v/>
      </c>
      <c r="F538" s="210"/>
      <c r="G538" s="210"/>
      <c r="H538" s="211"/>
    </row>
    <row r="539" ht="15.75" customHeight="1">
      <c r="B539" s="225"/>
      <c r="C539" s="187"/>
      <c r="D539" s="232"/>
      <c r="E539" s="221" t="str">
        <f t="shared" si="1"/>
        <v/>
      </c>
      <c r="F539" s="214"/>
      <c r="G539" s="214"/>
      <c r="H539" s="215"/>
    </row>
    <row r="540" ht="15.75" customHeight="1">
      <c r="B540" s="190"/>
      <c r="C540" s="183"/>
      <c r="D540" s="233"/>
      <c r="E540" s="173" t="str">
        <f t="shared" si="1"/>
        <v/>
      </c>
      <c r="F540" s="210"/>
      <c r="G540" s="210"/>
      <c r="H540" s="211"/>
    </row>
    <row r="541" ht="15.75" customHeight="1">
      <c r="B541" s="225"/>
      <c r="C541" s="187"/>
      <c r="D541" s="232"/>
      <c r="E541" s="221" t="str">
        <f t="shared" si="1"/>
        <v/>
      </c>
      <c r="F541" s="214"/>
      <c r="G541" s="214"/>
      <c r="H541" s="215"/>
    </row>
    <row r="542" ht="15.75" customHeight="1">
      <c r="B542" s="190"/>
      <c r="C542" s="183"/>
      <c r="D542" s="233"/>
      <c r="E542" s="173" t="str">
        <f t="shared" si="1"/>
        <v/>
      </c>
      <c r="F542" s="210"/>
      <c r="G542" s="210"/>
      <c r="H542" s="211"/>
    </row>
    <row r="543" ht="15.75" customHeight="1">
      <c r="B543" s="225"/>
      <c r="C543" s="187"/>
      <c r="D543" s="232"/>
      <c r="E543" s="221" t="str">
        <f t="shared" si="1"/>
        <v/>
      </c>
      <c r="F543" s="214"/>
      <c r="G543" s="214"/>
      <c r="H543" s="215"/>
    </row>
    <row r="544" ht="15.75" customHeight="1">
      <c r="B544" s="190"/>
      <c r="C544" s="183"/>
      <c r="D544" s="233"/>
      <c r="E544" s="173" t="str">
        <f t="shared" si="1"/>
        <v/>
      </c>
      <c r="F544" s="210"/>
      <c r="G544" s="210"/>
      <c r="H544" s="211"/>
    </row>
    <row r="545" ht="15.75" customHeight="1">
      <c r="B545" s="225"/>
      <c r="C545" s="187"/>
      <c r="D545" s="232"/>
      <c r="E545" s="221" t="str">
        <f t="shared" si="1"/>
        <v/>
      </c>
      <c r="F545" s="214"/>
      <c r="G545" s="214"/>
      <c r="H545" s="215"/>
    </row>
    <row r="546" ht="15.75" customHeight="1">
      <c r="B546" s="190"/>
      <c r="C546" s="183"/>
      <c r="D546" s="233"/>
      <c r="E546" s="173" t="str">
        <f t="shared" si="1"/>
        <v/>
      </c>
      <c r="F546" s="210"/>
      <c r="G546" s="210"/>
      <c r="H546" s="211"/>
    </row>
    <row r="547" ht="15.75" customHeight="1">
      <c r="B547" s="225"/>
      <c r="C547" s="187"/>
      <c r="D547" s="232"/>
      <c r="E547" s="221" t="str">
        <f t="shared" si="1"/>
        <v/>
      </c>
      <c r="F547" s="214"/>
      <c r="G547" s="214"/>
      <c r="H547" s="215"/>
    </row>
    <row r="548" ht="15.75" customHeight="1">
      <c r="B548" s="190"/>
      <c r="C548" s="183"/>
      <c r="D548" s="233"/>
      <c r="E548" s="173" t="str">
        <f t="shared" si="1"/>
        <v/>
      </c>
      <c r="F548" s="210"/>
      <c r="G548" s="210"/>
      <c r="H548" s="211"/>
    </row>
    <row r="549" ht="15.75" customHeight="1">
      <c r="B549" s="225"/>
      <c r="C549" s="187"/>
      <c r="D549" s="232"/>
      <c r="E549" s="221" t="str">
        <f t="shared" si="1"/>
        <v/>
      </c>
      <c r="F549" s="214"/>
      <c r="G549" s="214"/>
      <c r="H549" s="215"/>
    </row>
    <row r="550" ht="15.75" customHeight="1">
      <c r="B550" s="190"/>
      <c r="C550" s="183"/>
      <c r="D550" s="233"/>
      <c r="E550" s="173" t="str">
        <f t="shared" si="1"/>
        <v/>
      </c>
      <c r="F550" s="210"/>
      <c r="G550" s="210"/>
      <c r="H550" s="211"/>
    </row>
    <row r="551" ht="15.75" customHeight="1">
      <c r="B551" s="225"/>
      <c r="C551" s="187"/>
      <c r="D551" s="232"/>
      <c r="E551" s="221" t="str">
        <f t="shared" si="1"/>
        <v/>
      </c>
      <c r="F551" s="214"/>
      <c r="G551" s="214"/>
      <c r="H551" s="215"/>
    </row>
    <row r="552" ht="15.75" customHeight="1">
      <c r="B552" s="190"/>
      <c r="C552" s="183"/>
      <c r="D552" s="233"/>
      <c r="E552" s="173" t="str">
        <f t="shared" si="1"/>
        <v/>
      </c>
      <c r="F552" s="210"/>
      <c r="G552" s="210"/>
      <c r="H552" s="211"/>
    </row>
    <row r="553" ht="15.75" customHeight="1">
      <c r="B553" s="225"/>
      <c r="C553" s="187"/>
      <c r="D553" s="232"/>
      <c r="E553" s="221" t="str">
        <f t="shared" si="1"/>
        <v/>
      </c>
      <c r="F553" s="214"/>
      <c r="G553" s="214"/>
      <c r="H553" s="215"/>
    </row>
    <row r="554" ht="15.75" customHeight="1">
      <c r="B554" s="190"/>
      <c r="C554" s="183"/>
      <c r="D554" s="233"/>
      <c r="E554" s="173" t="str">
        <f t="shared" si="1"/>
        <v/>
      </c>
      <c r="F554" s="210"/>
      <c r="G554" s="210"/>
      <c r="H554" s="211"/>
    </row>
    <row r="555" ht="15.75" customHeight="1">
      <c r="B555" s="225"/>
      <c r="C555" s="187"/>
      <c r="D555" s="232"/>
      <c r="E555" s="221" t="str">
        <f t="shared" si="1"/>
        <v/>
      </c>
      <c r="F555" s="214"/>
      <c r="G555" s="214"/>
      <c r="H555" s="215"/>
    </row>
    <row r="556" ht="15.75" customHeight="1">
      <c r="B556" s="190"/>
      <c r="C556" s="183"/>
      <c r="D556" s="233"/>
      <c r="E556" s="173" t="str">
        <f t="shared" si="1"/>
        <v/>
      </c>
      <c r="F556" s="210"/>
      <c r="G556" s="210"/>
      <c r="H556" s="211"/>
    </row>
    <row r="557" ht="15.75" customHeight="1">
      <c r="B557" s="225"/>
      <c r="C557" s="187"/>
      <c r="D557" s="232"/>
      <c r="E557" s="221" t="str">
        <f t="shared" si="1"/>
        <v/>
      </c>
      <c r="F557" s="214"/>
      <c r="G557" s="214"/>
      <c r="H557" s="215"/>
    </row>
    <row r="558" ht="15.75" customHeight="1">
      <c r="B558" s="190"/>
      <c r="C558" s="183"/>
      <c r="D558" s="233"/>
      <c r="E558" s="173" t="str">
        <f t="shared" si="1"/>
        <v/>
      </c>
      <c r="F558" s="210"/>
      <c r="G558" s="210"/>
      <c r="H558" s="211"/>
    </row>
    <row r="559" ht="15.75" customHeight="1">
      <c r="B559" s="225"/>
      <c r="C559" s="187"/>
      <c r="D559" s="232"/>
      <c r="E559" s="221" t="str">
        <f t="shared" si="1"/>
        <v/>
      </c>
      <c r="F559" s="214"/>
      <c r="G559" s="214"/>
      <c r="H559" s="215"/>
    </row>
    <row r="560" ht="15.75" customHeight="1">
      <c r="B560" s="190"/>
      <c r="C560" s="183"/>
      <c r="D560" s="233"/>
      <c r="E560" s="173" t="str">
        <f t="shared" si="1"/>
        <v/>
      </c>
      <c r="F560" s="210"/>
      <c r="G560" s="210"/>
      <c r="H560" s="211"/>
    </row>
    <row r="561" ht="15.75" customHeight="1">
      <c r="B561" s="225"/>
      <c r="C561" s="187"/>
      <c r="D561" s="232"/>
      <c r="E561" s="221" t="str">
        <f t="shared" si="1"/>
        <v/>
      </c>
      <c r="F561" s="214"/>
      <c r="G561" s="214"/>
      <c r="H561" s="215"/>
    </row>
    <row r="562" ht="15.75" customHeight="1">
      <c r="B562" s="190"/>
      <c r="C562" s="183"/>
      <c r="D562" s="233"/>
      <c r="E562" s="173" t="str">
        <f t="shared" si="1"/>
        <v/>
      </c>
      <c r="F562" s="210"/>
      <c r="G562" s="210"/>
      <c r="H562" s="211"/>
    </row>
    <row r="563" ht="15.75" customHeight="1">
      <c r="B563" s="225"/>
      <c r="C563" s="187"/>
      <c r="D563" s="232"/>
      <c r="E563" s="221" t="str">
        <f t="shared" si="1"/>
        <v/>
      </c>
      <c r="F563" s="214"/>
      <c r="G563" s="214"/>
      <c r="H563" s="215"/>
    </row>
    <row r="564" ht="15.75" customHeight="1">
      <c r="B564" s="190"/>
      <c r="C564" s="183"/>
      <c r="D564" s="233"/>
      <c r="E564" s="173" t="str">
        <f t="shared" si="1"/>
        <v/>
      </c>
      <c r="F564" s="210"/>
      <c r="G564" s="210"/>
      <c r="H564" s="211"/>
    </row>
    <row r="565" ht="15.75" customHeight="1">
      <c r="B565" s="225"/>
      <c r="C565" s="187"/>
      <c r="D565" s="232"/>
      <c r="E565" s="221" t="str">
        <f t="shared" si="1"/>
        <v/>
      </c>
      <c r="F565" s="214"/>
      <c r="G565" s="214"/>
      <c r="H565" s="215"/>
    </row>
    <row r="566" ht="15.75" customHeight="1">
      <c r="B566" s="190"/>
      <c r="C566" s="183"/>
      <c r="D566" s="233"/>
      <c r="E566" s="173" t="str">
        <f t="shared" si="1"/>
        <v/>
      </c>
      <c r="F566" s="210"/>
      <c r="G566" s="210"/>
      <c r="H566" s="211"/>
    </row>
    <row r="567" ht="15.75" customHeight="1">
      <c r="B567" s="225"/>
      <c r="C567" s="187"/>
      <c r="D567" s="232"/>
      <c r="E567" s="221" t="str">
        <f t="shared" si="1"/>
        <v/>
      </c>
      <c r="F567" s="214"/>
      <c r="G567" s="214"/>
      <c r="H567" s="215"/>
    </row>
    <row r="568" ht="15.75" customHeight="1">
      <c r="B568" s="190"/>
      <c r="C568" s="183"/>
      <c r="D568" s="233"/>
      <c r="E568" s="173" t="str">
        <f t="shared" si="1"/>
        <v/>
      </c>
      <c r="F568" s="210"/>
      <c r="G568" s="210"/>
      <c r="H568" s="211"/>
    </row>
    <row r="569" ht="15.75" customHeight="1">
      <c r="B569" s="225"/>
      <c r="C569" s="187"/>
      <c r="D569" s="232"/>
      <c r="E569" s="221" t="str">
        <f t="shared" si="1"/>
        <v/>
      </c>
      <c r="F569" s="214"/>
      <c r="G569" s="214"/>
      <c r="H569" s="215"/>
    </row>
    <row r="570" ht="15.75" customHeight="1">
      <c r="B570" s="190"/>
      <c r="C570" s="183"/>
      <c r="D570" s="233"/>
      <c r="E570" s="173" t="str">
        <f t="shared" si="1"/>
        <v/>
      </c>
      <c r="F570" s="210"/>
      <c r="G570" s="210"/>
      <c r="H570" s="211"/>
    </row>
    <row r="571" ht="15.75" customHeight="1">
      <c r="B571" s="225"/>
      <c r="C571" s="187"/>
      <c r="D571" s="232"/>
      <c r="E571" s="221" t="str">
        <f t="shared" si="1"/>
        <v/>
      </c>
      <c r="F571" s="214"/>
      <c r="G571" s="214"/>
      <c r="H571" s="215"/>
    </row>
    <row r="572" ht="15.75" customHeight="1">
      <c r="B572" s="190"/>
      <c r="C572" s="183"/>
      <c r="D572" s="233"/>
      <c r="E572" s="173" t="str">
        <f t="shared" si="1"/>
        <v/>
      </c>
      <c r="F572" s="210"/>
      <c r="G572" s="210"/>
      <c r="H572" s="211"/>
    </row>
    <row r="573" ht="15.75" customHeight="1">
      <c r="B573" s="225"/>
      <c r="C573" s="187"/>
      <c r="D573" s="232"/>
      <c r="E573" s="221" t="str">
        <f t="shared" si="1"/>
        <v/>
      </c>
      <c r="F573" s="214"/>
      <c r="G573" s="214"/>
      <c r="H573" s="215"/>
    </row>
    <row r="574" ht="15.75" customHeight="1">
      <c r="B574" s="190"/>
      <c r="C574" s="183"/>
      <c r="D574" s="233"/>
      <c r="E574" s="173" t="str">
        <f t="shared" si="1"/>
        <v/>
      </c>
      <c r="F574" s="210"/>
      <c r="G574" s="210"/>
      <c r="H574" s="211"/>
    </row>
    <row r="575" ht="15.75" customHeight="1">
      <c r="B575" s="225"/>
      <c r="C575" s="187"/>
      <c r="D575" s="232"/>
      <c r="E575" s="221" t="str">
        <f t="shared" si="1"/>
        <v/>
      </c>
      <c r="F575" s="214"/>
      <c r="G575" s="214"/>
      <c r="H575" s="215"/>
    </row>
    <row r="576" ht="15.75" customHeight="1">
      <c r="B576" s="190"/>
      <c r="C576" s="183"/>
      <c r="D576" s="233"/>
      <c r="E576" s="173" t="str">
        <f t="shared" si="1"/>
        <v/>
      </c>
      <c r="F576" s="210"/>
      <c r="G576" s="210"/>
      <c r="H576" s="211"/>
    </row>
    <row r="577" ht="15.75" customHeight="1">
      <c r="B577" s="225"/>
      <c r="C577" s="187"/>
      <c r="D577" s="232"/>
      <c r="E577" s="221" t="str">
        <f t="shared" si="1"/>
        <v/>
      </c>
      <c r="F577" s="214"/>
      <c r="G577" s="214"/>
      <c r="H577" s="215"/>
    </row>
    <row r="578" ht="15.75" customHeight="1">
      <c r="B578" s="190"/>
      <c r="C578" s="183"/>
      <c r="D578" s="233"/>
      <c r="E578" s="173" t="str">
        <f t="shared" si="1"/>
        <v/>
      </c>
      <c r="F578" s="210"/>
      <c r="G578" s="210"/>
      <c r="H578" s="211"/>
    </row>
    <row r="579" ht="15.75" customHeight="1">
      <c r="B579" s="225"/>
      <c r="C579" s="187"/>
      <c r="D579" s="232"/>
      <c r="E579" s="221" t="str">
        <f t="shared" si="1"/>
        <v/>
      </c>
      <c r="F579" s="214"/>
      <c r="G579" s="214"/>
      <c r="H579" s="215"/>
    </row>
    <row r="580" ht="15.75" customHeight="1">
      <c r="B580" s="190"/>
      <c r="C580" s="183"/>
      <c r="D580" s="233"/>
      <c r="E580" s="173" t="str">
        <f t="shared" si="1"/>
        <v/>
      </c>
      <c r="F580" s="210"/>
      <c r="G580" s="210"/>
      <c r="H580" s="211"/>
    </row>
    <row r="581" ht="15.75" customHeight="1">
      <c r="B581" s="225"/>
      <c r="C581" s="187"/>
      <c r="D581" s="232"/>
      <c r="E581" s="221" t="str">
        <f t="shared" si="1"/>
        <v/>
      </c>
      <c r="F581" s="214"/>
      <c r="G581" s="214"/>
      <c r="H581" s="215"/>
    </row>
    <row r="582" ht="15.75" customHeight="1">
      <c r="B582" s="190"/>
      <c r="C582" s="183"/>
      <c r="D582" s="233"/>
      <c r="E582" s="173" t="str">
        <f t="shared" si="1"/>
        <v/>
      </c>
      <c r="F582" s="210"/>
      <c r="G582" s="210"/>
      <c r="H582" s="211"/>
    </row>
    <row r="583" ht="15.75" customHeight="1">
      <c r="B583" s="225"/>
      <c r="C583" s="187"/>
      <c r="D583" s="232"/>
      <c r="E583" s="221" t="str">
        <f t="shared" si="1"/>
        <v/>
      </c>
      <c r="F583" s="214"/>
      <c r="G583" s="214"/>
      <c r="H583" s="215"/>
    </row>
    <row r="584" ht="15.75" customHeight="1">
      <c r="B584" s="190"/>
      <c r="C584" s="183"/>
      <c r="D584" s="233"/>
      <c r="E584" s="173" t="str">
        <f t="shared" si="1"/>
        <v/>
      </c>
      <c r="F584" s="210"/>
      <c r="G584" s="210"/>
      <c r="H584" s="211"/>
    </row>
    <row r="585" ht="15.75" customHeight="1">
      <c r="B585" s="225"/>
      <c r="C585" s="187"/>
      <c r="D585" s="232"/>
      <c r="E585" s="221" t="str">
        <f t="shared" si="1"/>
        <v/>
      </c>
      <c r="F585" s="214"/>
      <c r="G585" s="214"/>
      <c r="H585" s="215"/>
    </row>
    <row r="586" ht="15.75" customHeight="1">
      <c r="B586" s="190"/>
      <c r="C586" s="183"/>
      <c r="D586" s="233"/>
      <c r="E586" s="173" t="str">
        <f t="shared" si="1"/>
        <v/>
      </c>
      <c r="F586" s="210"/>
      <c r="G586" s="210"/>
      <c r="H586" s="211"/>
    </row>
    <row r="587" ht="15.75" customHeight="1">
      <c r="B587" s="225"/>
      <c r="C587" s="187"/>
      <c r="D587" s="232"/>
      <c r="E587" s="221" t="str">
        <f t="shared" si="1"/>
        <v/>
      </c>
      <c r="F587" s="214"/>
      <c r="G587" s="214"/>
      <c r="H587" s="215"/>
    </row>
    <row r="588" ht="15.75" customHeight="1">
      <c r="B588" s="190"/>
      <c r="C588" s="183"/>
      <c r="D588" s="233"/>
      <c r="E588" s="173" t="str">
        <f t="shared" si="1"/>
        <v/>
      </c>
      <c r="F588" s="210"/>
      <c r="G588" s="210"/>
      <c r="H588" s="211"/>
    </row>
    <row r="589" ht="15.75" customHeight="1">
      <c r="B589" s="225"/>
      <c r="C589" s="187"/>
      <c r="D589" s="232"/>
      <c r="E589" s="221" t="str">
        <f t="shared" si="1"/>
        <v/>
      </c>
      <c r="F589" s="214"/>
      <c r="G589" s="214"/>
      <c r="H589" s="215"/>
    </row>
    <row r="590" ht="15.75" customHeight="1">
      <c r="B590" s="190"/>
      <c r="C590" s="183"/>
      <c r="D590" s="233"/>
      <c r="E590" s="173" t="str">
        <f t="shared" si="1"/>
        <v/>
      </c>
      <c r="F590" s="210"/>
      <c r="G590" s="210"/>
      <c r="H590" s="211"/>
    </row>
    <row r="591" ht="15.75" customHeight="1">
      <c r="B591" s="225"/>
      <c r="C591" s="187"/>
      <c r="D591" s="232"/>
      <c r="E591" s="221" t="str">
        <f t="shared" si="1"/>
        <v/>
      </c>
      <c r="F591" s="214"/>
      <c r="G591" s="214"/>
      <c r="H591" s="215"/>
    </row>
    <row r="592" ht="15.75" customHeight="1">
      <c r="B592" s="190"/>
      <c r="C592" s="183"/>
      <c r="D592" s="233"/>
      <c r="E592" s="173" t="str">
        <f t="shared" si="1"/>
        <v/>
      </c>
      <c r="F592" s="210"/>
      <c r="G592" s="210"/>
      <c r="H592" s="211"/>
    </row>
    <row r="593" ht="15.75" customHeight="1">
      <c r="B593" s="225"/>
      <c r="C593" s="187"/>
      <c r="D593" s="232"/>
      <c r="E593" s="221" t="str">
        <f t="shared" si="1"/>
        <v/>
      </c>
      <c r="F593" s="214"/>
      <c r="G593" s="214"/>
      <c r="H593" s="215"/>
    </row>
    <row r="594" ht="15.75" customHeight="1">
      <c r="B594" s="190"/>
      <c r="C594" s="183"/>
      <c r="D594" s="233"/>
      <c r="E594" s="173" t="str">
        <f t="shared" si="1"/>
        <v/>
      </c>
      <c r="F594" s="210"/>
      <c r="G594" s="210"/>
      <c r="H594" s="211"/>
    </row>
    <row r="595" ht="15.75" customHeight="1">
      <c r="B595" s="225"/>
      <c r="C595" s="187"/>
      <c r="D595" s="232"/>
      <c r="E595" s="221" t="str">
        <f t="shared" si="1"/>
        <v/>
      </c>
      <c r="F595" s="214"/>
      <c r="G595" s="214"/>
      <c r="H595" s="215"/>
    </row>
    <row r="596" ht="15.75" customHeight="1">
      <c r="B596" s="190"/>
      <c r="C596" s="183"/>
      <c r="D596" s="233"/>
      <c r="E596" s="173" t="str">
        <f t="shared" si="1"/>
        <v/>
      </c>
      <c r="F596" s="210"/>
      <c r="G596" s="210"/>
      <c r="H596" s="211"/>
    </row>
    <row r="597" ht="15.75" customHeight="1">
      <c r="B597" s="225"/>
      <c r="C597" s="187"/>
      <c r="D597" s="232"/>
      <c r="E597" s="221" t="str">
        <f t="shared" si="1"/>
        <v/>
      </c>
      <c r="F597" s="214"/>
      <c r="G597" s="214"/>
      <c r="H597" s="215"/>
    </row>
    <row r="598" ht="15.75" customHeight="1">
      <c r="B598" s="190"/>
      <c r="C598" s="183"/>
      <c r="D598" s="233"/>
      <c r="E598" s="173" t="str">
        <f t="shared" si="1"/>
        <v/>
      </c>
      <c r="F598" s="210"/>
      <c r="G598" s="210"/>
      <c r="H598" s="211"/>
    </row>
    <row r="599" ht="15.75" customHeight="1">
      <c r="B599" s="225"/>
      <c r="C599" s="187"/>
      <c r="D599" s="232"/>
      <c r="E599" s="221" t="str">
        <f t="shared" si="1"/>
        <v/>
      </c>
      <c r="F599" s="214"/>
      <c r="G599" s="214"/>
      <c r="H599" s="215"/>
    </row>
    <row r="600" ht="15.75" customHeight="1">
      <c r="B600" s="190"/>
      <c r="C600" s="183"/>
      <c r="D600" s="233"/>
      <c r="E600" s="173" t="str">
        <f t="shared" si="1"/>
        <v/>
      </c>
      <c r="F600" s="210"/>
      <c r="G600" s="210"/>
      <c r="H600" s="211"/>
    </row>
    <row r="601" ht="15.75" customHeight="1">
      <c r="B601" s="225"/>
      <c r="C601" s="187"/>
      <c r="D601" s="232"/>
      <c r="E601" s="221" t="str">
        <f t="shared" si="1"/>
        <v/>
      </c>
      <c r="F601" s="214"/>
      <c r="G601" s="214"/>
      <c r="H601" s="215"/>
    </row>
    <row r="602" ht="15.75" customHeight="1">
      <c r="B602" s="190"/>
      <c r="C602" s="183"/>
      <c r="D602" s="233"/>
      <c r="E602" s="173" t="str">
        <f t="shared" si="1"/>
        <v/>
      </c>
      <c r="F602" s="210"/>
      <c r="G602" s="210"/>
      <c r="H602" s="211"/>
    </row>
    <row r="603" ht="15.75" customHeight="1">
      <c r="B603" s="225"/>
      <c r="C603" s="187"/>
      <c r="D603" s="232"/>
      <c r="E603" s="221" t="str">
        <f t="shared" si="1"/>
        <v/>
      </c>
      <c r="F603" s="214"/>
      <c r="G603" s="214"/>
      <c r="H603" s="215"/>
    </row>
    <row r="604" ht="15.75" customHeight="1">
      <c r="B604" s="190"/>
      <c r="C604" s="183"/>
      <c r="D604" s="233"/>
      <c r="E604" s="173" t="str">
        <f t="shared" si="1"/>
        <v/>
      </c>
      <c r="F604" s="210"/>
      <c r="G604" s="210"/>
      <c r="H604" s="211"/>
    </row>
    <row r="605" ht="15.75" customHeight="1">
      <c r="B605" s="225"/>
      <c r="C605" s="187"/>
      <c r="D605" s="232"/>
      <c r="E605" s="221" t="str">
        <f t="shared" si="1"/>
        <v/>
      </c>
      <c r="F605" s="214"/>
      <c r="G605" s="214"/>
      <c r="H605" s="215"/>
    </row>
    <row r="606" ht="15.75" customHeight="1">
      <c r="B606" s="190"/>
      <c r="C606" s="183"/>
      <c r="D606" s="233"/>
      <c r="E606" s="173" t="str">
        <f t="shared" si="1"/>
        <v/>
      </c>
      <c r="F606" s="210"/>
      <c r="G606" s="210"/>
      <c r="H606" s="211"/>
    </row>
    <row r="607" ht="15.75" customHeight="1">
      <c r="B607" s="225"/>
      <c r="C607" s="187"/>
      <c r="D607" s="232"/>
      <c r="E607" s="221" t="str">
        <f t="shared" si="1"/>
        <v/>
      </c>
      <c r="F607" s="214"/>
      <c r="G607" s="214"/>
      <c r="H607" s="215"/>
    </row>
    <row r="608" ht="15.75" customHeight="1">
      <c r="B608" s="190"/>
      <c r="C608" s="183"/>
      <c r="D608" s="233"/>
      <c r="E608" s="173" t="str">
        <f t="shared" si="1"/>
        <v/>
      </c>
      <c r="F608" s="210"/>
      <c r="G608" s="210"/>
      <c r="H608" s="211"/>
    </row>
    <row r="609" ht="15.75" customHeight="1">
      <c r="B609" s="225"/>
      <c r="C609" s="187"/>
      <c r="D609" s="232"/>
      <c r="E609" s="221" t="str">
        <f t="shared" si="1"/>
        <v/>
      </c>
      <c r="F609" s="214"/>
      <c r="G609" s="214"/>
      <c r="H609" s="215"/>
    </row>
    <row r="610" ht="15.75" customHeight="1">
      <c r="B610" s="190"/>
      <c r="C610" s="183"/>
      <c r="D610" s="233"/>
      <c r="E610" s="173" t="str">
        <f t="shared" si="1"/>
        <v/>
      </c>
      <c r="F610" s="210"/>
      <c r="G610" s="210"/>
      <c r="H610" s="211"/>
    </row>
    <row r="611" ht="15.75" customHeight="1">
      <c r="B611" s="225"/>
      <c r="C611" s="187"/>
      <c r="D611" s="232"/>
      <c r="E611" s="221" t="str">
        <f t="shared" si="1"/>
        <v/>
      </c>
      <c r="F611" s="214"/>
      <c r="G611" s="214"/>
      <c r="H611" s="215"/>
    </row>
    <row r="612" ht="15.75" customHeight="1">
      <c r="B612" s="190"/>
      <c r="C612" s="183"/>
      <c r="D612" s="233"/>
      <c r="E612" s="173" t="str">
        <f t="shared" si="1"/>
        <v/>
      </c>
      <c r="F612" s="210"/>
      <c r="G612" s="210"/>
      <c r="H612" s="211"/>
    </row>
    <row r="613" ht="15.75" customHeight="1">
      <c r="B613" s="225"/>
      <c r="C613" s="187"/>
      <c r="D613" s="232"/>
      <c r="E613" s="221" t="str">
        <f t="shared" si="1"/>
        <v/>
      </c>
      <c r="F613" s="214"/>
      <c r="G613" s="214"/>
      <c r="H613" s="215"/>
    </row>
    <row r="614" ht="15.75" customHeight="1">
      <c r="B614" s="190"/>
      <c r="C614" s="183"/>
      <c r="D614" s="233"/>
      <c r="E614" s="173" t="str">
        <f t="shared" si="1"/>
        <v/>
      </c>
      <c r="F614" s="210"/>
      <c r="G614" s="210"/>
      <c r="H614" s="211"/>
    </row>
    <row r="615" ht="15.75" customHeight="1">
      <c r="B615" s="225"/>
      <c r="C615" s="187"/>
      <c r="D615" s="232"/>
      <c r="E615" s="221" t="str">
        <f t="shared" si="1"/>
        <v/>
      </c>
      <c r="F615" s="214"/>
      <c r="G615" s="214"/>
      <c r="H615" s="215"/>
    </row>
    <row r="616" ht="15.75" customHeight="1">
      <c r="B616" s="190"/>
      <c r="C616" s="183"/>
      <c r="D616" s="233"/>
      <c r="E616" s="173" t="str">
        <f t="shared" si="1"/>
        <v/>
      </c>
      <c r="F616" s="210"/>
      <c r="G616" s="210"/>
      <c r="H616" s="211"/>
    </row>
    <row r="617" ht="15.75" customHeight="1">
      <c r="B617" s="225"/>
      <c r="C617" s="187"/>
      <c r="D617" s="232"/>
      <c r="E617" s="221" t="str">
        <f t="shared" si="1"/>
        <v/>
      </c>
      <c r="F617" s="214"/>
      <c r="G617" s="214"/>
      <c r="H617" s="215"/>
    </row>
    <row r="618" ht="15.75" customHeight="1">
      <c r="B618" s="190"/>
      <c r="C618" s="183"/>
      <c r="D618" s="233"/>
      <c r="E618" s="173" t="str">
        <f t="shared" si="1"/>
        <v/>
      </c>
      <c r="F618" s="210"/>
      <c r="G618" s="210"/>
      <c r="H618" s="211"/>
    </row>
    <row r="619" ht="15.75" customHeight="1">
      <c r="B619" s="225"/>
      <c r="C619" s="187"/>
      <c r="D619" s="232"/>
      <c r="E619" s="221" t="str">
        <f t="shared" si="1"/>
        <v/>
      </c>
      <c r="F619" s="214"/>
      <c r="G619" s="214"/>
      <c r="H619" s="215"/>
    </row>
    <row r="620" ht="15.75" customHeight="1">
      <c r="B620" s="190"/>
      <c r="C620" s="183"/>
      <c r="D620" s="233"/>
      <c r="E620" s="173" t="str">
        <f t="shared" si="1"/>
        <v/>
      </c>
      <c r="F620" s="210"/>
      <c r="G620" s="210"/>
      <c r="H620" s="211"/>
    </row>
    <row r="621" ht="15.75" customHeight="1">
      <c r="B621" s="225"/>
      <c r="C621" s="187"/>
      <c r="D621" s="232"/>
      <c r="E621" s="221" t="str">
        <f t="shared" si="1"/>
        <v/>
      </c>
      <c r="F621" s="214"/>
      <c r="G621" s="214"/>
      <c r="H621" s="215"/>
    </row>
    <row r="622" ht="15.75" customHeight="1">
      <c r="B622" s="190"/>
      <c r="C622" s="183"/>
      <c r="D622" s="233"/>
      <c r="E622" s="173" t="str">
        <f t="shared" si="1"/>
        <v/>
      </c>
      <c r="F622" s="210"/>
      <c r="G622" s="210"/>
      <c r="H622" s="211"/>
    </row>
    <row r="623" ht="15.75" customHeight="1">
      <c r="B623" s="225"/>
      <c r="C623" s="187"/>
      <c r="D623" s="232"/>
      <c r="E623" s="221" t="str">
        <f t="shared" si="1"/>
        <v/>
      </c>
      <c r="F623" s="214"/>
      <c r="G623" s="214"/>
      <c r="H623" s="215"/>
    </row>
    <row r="624" ht="15.75" customHeight="1">
      <c r="B624" s="190"/>
      <c r="C624" s="183"/>
      <c r="D624" s="233"/>
      <c r="E624" s="173" t="str">
        <f t="shared" si="1"/>
        <v/>
      </c>
      <c r="F624" s="210"/>
      <c r="G624" s="210"/>
      <c r="H624" s="211"/>
    </row>
    <row r="625" ht="15.75" customHeight="1">
      <c r="B625" s="225"/>
      <c r="C625" s="187"/>
      <c r="D625" s="232"/>
      <c r="E625" s="221" t="str">
        <f t="shared" si="1"/>
        <v/>
      </c>
      <c r="F625" s="214"/>
      <c r="G625" s="214"/>
      <c r="H625" s="215"/>
    </row>
    <row r="626" ht="15.75" customHeight="1">
      <c r="B626" s="190"/>
      <c r="C626" s="183"/>
      <c r="D626" s="233"/>
      <c r="E626" s="173" t="str">
        <f t="shared" si="1"/>
        <v/>
      </c>
      <c r="F626" s="210"/>
      <c r="G626" s="210"/>
      <c r="H626" s="211"/>
    </row>
    <row r="627" ht="15.75" customHeight="1">
      <c r="B627" s="225"/>
      <c r="C627" s="187"/>
      <c r="D627" s="232"/>
      <c r="E627" s="221" t="str">
        <f t="shared" si="1"/>
        <v/>
      </c>
      <c r="F627" s="214"/>
      <c r="G627" s="214"/>
      <c r="H627" s="215"/>
    </row>
    <row r="628" ht="15.75" customHeight="1">
      <c r="B628" s="190"/>
      <c r="C628" s="183"/>
      <c r="D628" s="233"/>
      <c r="E628" s="173" t="str">
        <f t="shared" si="1"/>
        <v/>
      </c>
      <c r="F628" s="210"/>
      <c r="G628" s="210"/>
      <c r="H628" s="211"/>
    </row>
    <row r="629" ht="15.75" customHeight="1">
      <c r="B629" s="225"/>
      <c r="C629" s="187"/>
      <c r="D629" s="232"/>
      <c r="E629" s="221" t="str">
        <f t="shared" si="1"/>
        <v/>
      </c>
      <c r="F629" s="214"/>
      <c r="G629" s="214"/>
      <c r="H629" s="215"/>
    </row>
    <row r="630" ht="15.75" customHeight="1">
      <c r="B630" s="190"/>
      <c r="C630" s="183"/>
      <c r="D630" s="233"/>
      <c r="E630" s="173" t="str">
        <f t="shared" si="1"/>
        <v/>
      </c>
      <c r="F630" s="210"/>
      <c r="G630" s="210"/>
      <c r="H630" s="211"/>
    </row>
    <row r="631" ht="15.75" customHeight="1">
      <c r="B631" s="225"/>
      <c r="C631" s="187"/>
      <c r="D631" s="232"/>
      <c r="E631" s="221" t="str">
        <f t="shared" si="1"/>
        <v/>
      </c>
      <c r="F631" s="214"/>
      <c r="G631" s="214"/>
      <c r="H631" s="215"/>
    </row>
    <row r="632" ht="15.75" customHeight="1">
      <c r="B632" s="190"/>
      <c r="C632" s="183"/>
      <c r="D632" s="233"/>
      <c r="E632" s="173" t="str">
        <f t="shared" si="1"/>
        <v/>
      </c>
      <c r="F632" s="210"/>
      <c r="G632" s="210"/>
      <c r="H632" s="211"/>
    </row>
    <row r="633" ht="15.75" customHeight="1">
      <c r="B633" s="225"/>
      <c r="C633" s="187"/>
      <c r="D633" s="232"/>
      <c r="E633" s="221" t="str">
        <f t="shared" si="1"/>
        <v/>
      </c>
      <c r="F633" s="214"/>
      <c r="G633" s="214"/>
      <c r="H633" s="215"/>
    </row>
    <row r="634" ht="15.75" customHeight="1">
      <c r="B634" s="190"/>
      <c r="C634" s="183"/>
      <c r="D634" s="233"/>
      <c r="E634" s="173" t="str">
        <f t="shared" si="1"/>
        <v/>
      </c>
      <c r="F634" s="210"/>
      <c r="G634" s="210"/>
      <c r="H634" s="211"/>
    </row>
    <row r="635" ht="15.75" customHeight="1">
      <c r="B635" s="225"/>
      <c r="C635" s="187"/>
      <c r="D635" s="232"/>
      <c r="E635" s="221" t="str">
        <f t="shared" si="1"/>
        <v/>
      </c>
      <c r="F635" s="214"/>
      <c r="G635" s="214"/>
      <c r="H635" s="215"/>
    </row>
    <row r="636" ht="15.75" customHeight="1">
      <c r="B636" s="190"/>
      <c r="C636" s="183"/>
      <c r="D636" s="233"/>
      <c r="E636" s="173" t="str">
        <f t="shared" si="1"/>
        <v/>
      </c>
      <c r="F636" s="210"/>
      <c r="G636" s="210"/>
      <c r="H636" s="211"/>
    </row>
    <row r="637" ht="15.75" customHeight="1">
      <c r="B637" s="225"/>
      <c r="C637" s="187"/>
      <c r="D637" s="232"/>
      <c r="E637" s="221" t="str">
        <f t="shared" si="1"/>
        <v/>
      </c>
      <c r="F637" s="214"/>
      <c r="G637" s="214"/>
      <c r="H637" s="215"/>
    </row>
    <row r="638" ht="15.75" customHeight="1">
      <c r="B638" s="190"/>
      <c r="C638" s="183"/>
      <c r="D638" s="233"/>
      <c r="E638" s="173" t="str">
        <f t="shared" si="1"/>
        <v/>
      </c>
      <c r="F638" s="210"/>
      <c r="G638" s="210"/>
      <c r="H638" s="211"/>
    </row>
    <row r="639" ht="15.75" customHeight="1">
      <c r="B639" s="225"/>
      <c r="C639" s="187"/>
      <c r="D639" s="232"/>
      <c r="E639" s="221" t="str">
        <f t="shared" si="1"/>
        <v/>
      </c>
      <c r="F639" s="214"/>
      <c r="G639" s="214"/>
      <c r="H639" s="215"/>
    </row>
    <row r="640" ht="15.75" customHeight="1">
      <c r="B640" s="190"/>
      <c r="C640" s="183"/>
      <c r="D640" s="233"/>
      <c r="E640" s="173" t="str">
        <f t="shared" si="1"/>
        <v/>
      </c>
      <c r="F640" s="210"/>
      <c r="G640" s="210"/>
      <c r="H640" s="211"/>
    </row>
    <row r="641" ht="15.75" customHeight="1">
      <c r="B641" s="225"/>
      <c r="C641" s="187"/>
      <c r="D641" s="232"/>
      <c r="E641" s="221" t="str">
        <f t="shared" si="1"/>
        <v/>
      </c>
      <c r="F641" s="214"/>
      <c r="G641" s="214"/>
      <c r="H641" s="215"/>
    </row>
    <row r="642" ht="15.75" customHeight="1">
      <c r="B642" s="190"/>
      <c r="C642" s="183"/>
      <c r="D642" s="233"/>
      <c r="E642" s="173" t="str">
        <f t="shared" si="1"/>
        <v/>
      </c>
      <c r="F642" s="210"/>
      <c r="G642" s="210"/>
      <c r="H642" s="211"/>
    </row>
    <row r="643" ht="15.75" customHeight="1">
      <c r="B643" s="225"/>
      <c r="C643" s="187"/>
      <c r="D643" s="232"/>
      <c r="E643" s="221" t="str">
        <f t="shared" si="1"/>
        <v/>
      </c>
      <c r="F643" s="214"/>
      <c r="G643" s="214"/>
      <c r="H643" s="215"/>
    </row>
    <row r="644" ht="15.75" customHeight="1">
      <c r="B644" s="190"/>
      <c r="C644" s="183"/>
      <c r="D644" s="233"/>
      <c r="E644" s="173" t="str">
        <f t="shared" si="1"/>
        <v/>
      </c>
      <c r="F644" s="210"/>
      <c r="G644" s="210"/>
      <c r="H644" s="211"/>
    </row>
    <row r="645" ht="15.75" customHeight="1">
      <c r="B645" s="225"/>
      <c r="C645" s="187"/>
      <c r="D645" s="232"/>
      <c r="E645" s="221" t="str">
        <f t="shared" si="1"/>
        <v/>
      </c>
      <c r="F645" s="214"/>
      <c r="G645" s="214"/>
      <c r="H645" s="215"/>
    </row>
    <row r="646" ht="15.75" customHeight="1">
      <c r="B646" s="190"/>
      <c r="C646" s="183"/>
      <c r="D646" s="233"/>
      <c r="E646" s="173" t="str">
        <f t="shared" si="1"/>
        <v/>
      </c>
      <c r="F646" s="210"/>
      <c r="G646" s="210"/>
      <c r="H646" s="211"/>
    </row>
    <row r="647" ht="15.75" customHeight="1">
      <c r="B647" s="225"/>
      <c r="C647" s="187"/>
      <c r="D647" s="232"/>
      <c r="E647" s="221" t="str">
        <f t="shared" si="1"/>
        <v/>
      </c>
      <c r="F647" s="214"/>
      <c r="G647" s="214"/>
      <c r="H647" s="215"/>
    </row>
    <row r="648" ht="15.75" customHeight="1">
      <c r="B648" s="190"/>
      <c r="C648" s="183"/>
      <c r="D648" s="233"/>
      <c r="E648" s="173" t="str">
        <f t="shared" si="1"/>
        <v/>
      </c>
      <c r="F648" s="210"/>
      <c r="G648" s="210"/>
      <c r="H648" s="211"/>
    </row>
    <row r="649" ht="15.75" customHeight="1">
      <c r="B649" s="225"/>
      <c r="C649" s="187"/>
      <c r="D649" s="232"/>
      <c r="E649" s="221" t="str">
        <f t="shared" si="1"/>
        <v/>
      </c>
      <c r="F649" s="214"/>
      <c r="G649" s="214"/>
      <c r="H649" s="215"/>
    </row>
    <row r="650" ht="15.75" customHeight="1">
      <c r="B650" s="190"/>
      <c r="C650" s="183"/>
      <c r="D650" s="233"/>
      <c r="E650" s="173" t="str">
        <f t="shared" si="1"/>
        <v/>
      </c>
      <c r="F650" s="210"/>
      <c r="G650" s="210"/>
      <c r="H650" s="211"/>
    </row>
    <row r="651" ht="15.75" customHeight="1">
      <c r="B651" s="225"/>
      <c r="C651" s="187"/>
      <c r="D651" s="232"/>
      <c r="E651" s="221" t="str">
        <f t="shared" si="1"/>
        <v/>
      </c>
      <c r="F651" s="214"/>
      <c r="G651" s="214"/>
      <c r="H651" s="215"/>
    </row>
    <row r="652" ht="15.75" customHeight="1">
      <c r="B652" s="190"/>
      <c r="C652" s="183"/>
      <c r="D652" s="233"/>
      <c r="E652" s="173" t="str">
        <f t="shared" si="1"/>
        <v/>
      </c>
      <c r="F652" s="210"/>
      <c r="G652" s="210"/>
      <c r="H652" s="211"/>
    </row>
    <row r="653" ht="15.75" customHeight="1">
      <c r="B653" s="225"/>
      <c r="C653" s="187"/>
      <c r="D653" s="232"/>
      <c r="E653" s="221" t="str">
        <f t="shared" si="1"/>
        <v/>
      </c>
      <c r="F653" s="214"/>
      <c r="G653" s="214"/>
      <c r="H653" s="215"/>
    </row>
    <row r="654" ht="15.75" customHeight="1">
      <c r="B654" s="190"/>
      <c r="C654" s="183"/>
      <c r="D654" s="233"/>
      <c r="E654" s="173" t="str">
        <f t="shared" si="1"/>
        <v/>
      </c>
      <c r="F654" s="210"/>
      <c r="G654" s="210"/>
      <c r="H654" s="211"/>
    </row>
    <row r="655" ht="15.75" customHeight="1">
      <c r="B655" s="225"/>
      <c r="C655" s="187"/>
      <c r="D655" s="232"/>
      <c r="E655" s="221" t="str">
        <f t="shared" si="1"/>
        <v/>
      </c>
      <c r="F655" s="214"/>
      <c r="G655" s="214"/>
      <c r="H655" s="215"/>
    </row>
    <row r="656" ht="15.75" customHeight="1">
      <c r="B656" s="190"/>
      <c r="C656" s="183"/>
      <c r="D656" s="233"/>
      <c r="E656" s="173" t="str">
        <f t="shared" si="1"/>
        <v/>
      </c>
      <c r="F656" s="210"/>
      <c r="G656" s="210"/>
      <c r="H656" s="211"/>
    </row>
    <row r="657" ht="15.75" customHeight="1">
      <c r="B657" s="225"/>
      <c r="C657" s="187"/>
      <c r="D657" s="232"/>
      <c r="E657" s="221" t="str">
        <f t="shared" si="1"/>
        <v/>
      </c>
      <c r="F657" s="214"/>
      <c r="G657" s="214"/>
      <c r="H657" s="215"/>
    </row>
    <row r="658" ht="15.75" customHeight="1">
      <c r="B658" s="190"/>
      <c r="C658" s="183"/>
      <c r="D658" s="233"/>
      <c r="E658" s="173" t="str">
        <f t="shared" si="1"/>
        <v/>
      </c>
      <c r="F658" s="210"/>
      <c r="G658" s="210"/>
      <c r="H658" s="211"/>
    </row>
    <row r="659" ht="15.75" customHeight="1">
      <c r="B659" s="225"/>
      <c r="C659" s="187"/>
      <c r="D659" s="232"/>
      <c r="E659" s="221" t="str">
        <f t="shared" si="1"/>
        <v/>
      </c>
      <c r="F659" s="214"/>
      <c r="G659" s="214"/>
      <c r="H659" s="215"/>
    </row>
    <row r="660" ht="15.75" customHeight="1">
      <c r="B660" s="190"/>
      <c r="C660" s="183"/>
      <c r="D660" s="233"/>
      <c r="E660" s="173" t="str">
        <f t="shared" si="1"/>
        <v/>
      </c>
      <c r="F660" s="210"/>
      <c r="G660" s="210"/>
      <c r="H660" s="211"/>
    </row>
    <row r="661" ht="15.75" customHeight="1">
      <c r="B661" s="225"/>
      <c r="C661" s="187"/>
      <c r="D661" s="232"/>
      <c r="E661" s="221" t="str">
        <f t="shared" si="1"/>
        <v/>
      </c>
      <c r="F661" s="214"/>
      <c r="G661" s="214"/>
      <c r="H661" s="215"/>
    </row>
    <row r="662" ht="15.75" customHeight="1">
      <c r="B662" s="190"/>
      <c r="C662" s="183"/>
      <c r="D662" s="233"/>
      <c r="E662" s="173" t="str">
        <f t="shared" si="1"/>
        <v/>
      </c>
      <c r="F662" s="210"/>
      <c r="G662" s="210"/>
      <c r="H662" s="211"/>
    </row>
    <row r="663" ht="15.75" customHeight="1">
      <c r="B663" s="225"/>
      <c r="C663" s="187"/>
      <c r="D663" s="232"/>
      <c r="E663" s="221" t="str">
        <f t="shared" si="1"/>
        <v/>
      </c>
      <c r="F663" s="214"/>
      <c r="G663" s="214"/>
      <c r="H663" s="215"/>
    </row>
    <row r="664" ht="15.75" customHeight="1">
      <c r="B664" s="190"/>
      <c r="C664" s="183"/>
      <c r="D664" s="233"/>
      <c r="E664" s="173" t="str">
        <f t="shared" si="1"/>
        <v/>
      </c>
      <c r="F664" s="210"/>
      <c r="G664" s="210"/>
      <c r="H664" s="211"/>
    </row>
    <row r="665" ht="15.75" customHeight="1">
      <c r="B665" s="225"/>
      <c r="C665" s="187"/>
      <c r="D665" s="232"/>
      <c r="E665" s="221" t="str">
        <f t="shared" si="1"/>
        <v/>
      </c>
      <c r="F665" s="214"/>
      <c r="G665" s="214"/>
      <c r="H665" s="215"/>
    </row>
    <row r="666" ht="15.75" customHeight="1">
      <c r="B666" s="190"/>
      <c r="C666" s="183"/>
      <c r="D666" s="233"/>
      <c r="E666" s="173" t="str">
        <f t="shared" si="1"/>
        <v/>
      </c>
      <c r="F666" s="210"/>
      <c r="G666" s="210"/>
      <c r="H666" s="211"/>
    </row>
    <row r="667" ht="15.75" customHeight="1">
      <c r="B667" s="225"/>
      <c r="C667" s="187"/>
      <c r="D667" s="232"/>
      <c r="E667" s="221" t="str">
        <f t="shared" si="1"/>
        <v/>
      </c>
      <c r="F667" s="214"/>
      <c r="G667" s="214"/>
      <c r="H667" s="215"/>
    </row>
    <row r="668" ht="15.75" customHeight="1">
      <c r="B668" s="190"/>
      <c r="C668" s="183"/>
      <c r="D668" s="233"/>
      <c r="E668" s="173" t="str">
        <f t="shared" si="1"/>
        <v/>
      </c>
      <c r="F668" s="210"/>
      <c r="G668" s="210"/>
      <c r="H668" s="211"/>
    </row>
    <row r="669" ht="15.75" customHeight="1">
      <c r="B669" s="225"/>
      <c r="C669" s="187"/>
      <c r="D669" s="232"/>
      <c r="E669" s="221" t="str">
        <f t="shared" si="1"/>
        <v/>
      </c>
      <c r="F669" s="214"/>
      <c r="G669" s="214"/>
      <c r="H669" s="215"/>
    </row>
    <row r="670" ht="15.75" customHeight="1">
      <c r="B670" s="190"/>
      <c r="C670" s="183"/>
      <c r="D670" s="233"/>
      <c r="E670" s="173" t="str">
        <f t="shared" si="1"/>
        <v/>
      </c>
      <c r="F670" s="210"/>
      <c r="G670" s="210"/>
      <c r="H670" s="211"/>
    </row>
    <row r="671" ht="15.75" customHeight="1">
      <c r="B671" s="225"/>
      <c r="C671" s="187"/>
      <c r="D671" s="232"/>
      <c r="E671" s="221" t="str">
        <f t="shared" si="1"/>
        <v/>
      </c>
      <c r="F671" s="214"/>
      <c r="G671" s="214"/>
      <c r="H671" s="215"/>
    </row>
    <row r="672" ht="15.75" customHeight="1">
      <c r="B672" s="190"/>
      <c r="C672" s="183"/>
      <c r="D672" s="233"/>
      <c r="E672" s="173" t="str">
        <f t="shared" si="1"/>
        <v/>
      </c>
      <c r="F672" s="210"/>
      <c r="G672" s="210"/>
      <c r="H672" s="211"/>
    </row>
    <row r="673" ht="15.75" customHeight="1">
      <c r="B673" s="225"/>
      <c r="C673" s="187"/>
      <c r="D673" s="232"/>
      <c r="E673" s="221" t="str">
        <f t="shared" si="1"/>
        <v/>
      </c>
      <c r="F673" s="214"/>
      <c r="G673" s="214"/>
      <c r="H673" s="215"/>
    </row>
    <row r="674" ht="15.75" customHeight="1">
      <c r="B674" s="190"/>
      <c r="C674" s="183"/>
      <c r="D674" s="233"/>
      <c r="E674" s="173" t="str">
        <f t="shared" si="1"/>
        <v/>
      </c>
      <c r="F674" s="210"/>
      <c r="G674" s="210"/>
      <c r="H674" s="211"/>
    </row>
    <row r="675" ht="15.75" customHeight="1">
      <c r="B675" s="225"/>
      <c r="C675" s="187"/>
      <c r="D675" s="232"/>
      <c r="E675" s="221" t="str">
        <f t="shared" si="1"/>
        <v/>
      </c>
      <c r="F675" s="214"/>
      <c r="G675" s="214"/>
      <c r="H675" s="215"/>
    </row>
    <row r="676" ht="15.75" customHeight="1">
      <c r="B676" s="190"/>
      <c r="C676" s="183"/>
      <c r="D676" s="233"/>
      <c r="E676" s="173" t="str">
        <f t="shared" si="1"/>
        <v/>
      </c>
      <c r="F676" s="210"/>
      <c r="G676" s="210"/>
      <c r="H676" s="211"/>
    </row>
    <row r="677" ht="15.75" customHeight="1">
      <c r="B677" s="225"/>
      <c r="C677" s="187"/>
      <c r="D677" s="232"/>
      <c r="E677" s="221" t="str">
        <f t="shared" si="1"/>
        <v/>
      </c>
      <c r="F677" s="214"/>
      <c r="G677" s="214"/>
      <c r="H677" s="215"/>
    </row>
    <row r="678" ht="15.75" customHeight="1">
      <c r="B678" s="190"/>
      <c r="C678" s="183"/>
      <c r="D678" s="233"/>
      <c r="E678" s="173" t="str">
        <f t="shared" si="1"/>
        <v/>
      </c>
      <c r="F678" s="210"/>
      <c r="G678" s="210"/>
      <c r="H678" s="211"/>
    </row>
    <row r="679" ht="15.75" customHeight="1">
      <c r="B679" s="225"/>
      <c r="C679" s="187"/>
      <c r="D679" s="232"/>
      <c r="E679" s="221" t="str">
        <f t="shared" si="1"/>
        <v/>
      </c>
      <c r="F679" s="214"/>
      <c r="G679" s="214"/>
      <c r="H679" s="215"/>
    </row>
    <row r="680" ht="15.75" customHeight="1">
      <c r="B680" s="190"/>
      <c r="C680" s="183"/>
      <c r="D680" s="233"/>
      <c r="E680" s="173" t="str">
        <f t="shared" si="1"/>
        <v/>
      </c>
      <c r="F680" s="210"/>
      <c r="G680" s="210"/>
      <c r="H680" s="211"/>
    </row>
    <row r="681" ht="15.75" customHeight="1">
      <c r="B681" s="225"/>
      <c r="C681" s="187"/>
      <c r="D681" s="232"/>
      <c r="E681" s="221" t="str">
        <f t="shared" si="1"/>
        <v/>
      </c>
      <c r="F681" s="214"/>
      <c r="G681" s="214"/>
      <c r="H681" s="215"/>
    </row>
    <row r="682" ht="15.75" customHeight="1">
      <c r="B682" s="190"/>
      <c r="C682" s="183"/>
      <c r="D682" s="233"/>
      <c r="E682" s="173" t="str">
        <f t="shared" si="1"/>
        <v/>
      </c>
      <c r="F682" s="210"/>
      <c r="G682" s="210"/>
      <c r="H682" s="211"/>
    </row>
    <row r="683" ht="15.75" customHeight="1">
      <c r="B683" s="225"/>
      <c r="C683" s="187"/>
      <c r="D683" s="232"/>
      <c r="E683" s="221" t="str">
        <f t="shared" si="1"/>
        <v/>
      </c>
      <c r="F683" s="214"/>
      <c r="G683" s="214"/>
      <c r="H683" s="215"/>
    </row>
    <row r="684" ht="15.75" customHeight="1">
      <c r="B684" s="190"/>
      <c r="C684" s="183"/>
      <c r="D684" s="233"/>
      <c r="E684" s="173" t="str">
        <f t="shared" si="1"/>
        <v/>
      </c>
      <c r="F684" s="210"/>
      <c r="G684" s="210"/>
      <c r="H684" s="211"/>
    </row>
    <row r="685" ht="15.75" customHeight="1">
      <c r="B685" s="225"/>
      <c r="C685" s="187"/>
      <c r="D685" s="232"/>
      <c r="E685" s="221" t="str">
        <f t="shared" si="1"/>
        <v/>
      </c>
      <c r="F685" s="214"/>
      <c r="G685" s="214"/>
      <c r="H685" s="215"/>
    </row>
    <row r="686" ht="15.75" customHeight="1">
      <c r="B686" s="190"/>
      <c r="C686" s="183"/>
      <c r="D686" s="233"/>
      <c r="E686" s="173" t="str">
        <f t="shared" si="1"/>
        <v/>
      </c>
      <c r="F686" s="210"/>
      <c r="G686" s="210"/>
      <c r="H686" s="211"/>
    </row>
    <row r="687" ht="15.75" customHeight="1">
      <c r="B687" s="225"/>
      <c r="C687" s="187"/>
      <c r="D687" s="232"/>
      <c r="E687" s="221" t="str">
        <f t="shared" si="1"/>
        <v/>
      </c>
      <c r="F687" s="214"/>
      <c r="G687" s="214"/>
      <c r="H687" s="215"/>
    </row>
    <row r="688" ht="15.75" customHeight="1">
      <c r="B688" s="190"/>
      <c r="C688" s="183"/>
      <c r="D688" s="233"/>
      <c r="E688" s="173" t="str">
        <f t="shared" si="1"/>
        <v/>
      </c>
      <c r="F688" s="210"/>
      <c r="G688" s="210"/>
      <c r="H688" s="211"/>
    </row>
    <row r="689" ht="15.75" customHeight="1">
      <c r="B689" s="225"/>
      <c r="C689" s="187"/>
      <c r="D689" s="232"/>
      <c r="E689" s="221" t="str">
        <f t="shared" si="1"/>
        <v/>
      </c>
      <c r="F689" s="214"/>
      <c r="G689" s="214"/>
      <c r="H689" s="215"/>
    </row>
    <row r="690" ht="15.75" customHeight="1">
      <c r="B690" s="190"/>
      <c r="C690" s="183"/>
      <c r="D690" s="233"/>
      <c r="E690" s="173" t="str">
        <f t="shared" si="1"/>
        <v/>
      </c>
      <c r="F690" s="210"/>
      <c r="G690" s="210"/>
      <c r="H690" s="211"/>
    </row>
    <row r="691" ht="15.75" customHeight="1">
      <c r="B691" s="225"/>
      <c r="C691" s="187"/>
      <c r="D691" s="232"/>
      <c r="E691" s="221" t="str">
        <f t="shared" si="1"/>
        <v/>
      </c>
      <c r="F691" s="214"/>
      <c r="G691" s="214"/>
      <c r="H691" s="215"/>
    </row>
    <row r="692" ht="15.75" customHeight="1">
      <c r="B692" s="190"/>
      <c r="C692" s="183"/>
      <c r="D692" s="233"/>
      <c r="E692" s="173" t="str">
        <f t="shared" si="1"/>
        <v/>
      </c>
      <c r="F692" s="210"/>
      <c r="G692" s="210"/>
      <c r="H692" s="211"/>
    </row>
    <row r="693" ht="15.75" customHeight="1">
      <c r="B693" s="225"/>
      <c r="C693" s="187"/>
      <c r="D693" s="232"/>
      <c r="E693" s="221" t="str">
        <f t="shared" si="1"/>
        <v/>
      </c>
      <c r="F693" s="214"/>
      <c r="G693" s="214"/>
      <c r="H693" s="215"/>
    </row>
    <row r="694" ht="15.75" customHeight="1">
      <c r="B694" s="190"/>
      <c r="C694" s="183"/>
      <c r="D694" s="233"/>
      <c r="E694" s="173" t="str">
        <f t="shared" si="1"/>
        <v/>
      </c>
      <c r="F694" s="210"/>
      <c r="G694" s="210"/>
      <c r="H694" s="211"/>
    </row>
    <row r="695" ht="15.75" customHeight="1">
      <c r="B695" s="225"/>
      <c r="C695" s="187"/>
      <c r="D695" s="232"/>
      <c r="E695" s="221" t="str">
        <f t="shared" si="1"/>
        <v/>
      </c>
      <c r="F695" s="214"/>
      <c r="G695" s="214"/>
      <c r="H695" s="215"/>
    </row>
    <row r="696" ht="15.75" customHeight="1">
      <c r="B696" s="190"/>
      <c r="C696" s="183"/>
      <c r="D696" s="233"/>
      <c r="E696" s="173" t="str">
        <f t="shared" si="1"/>
        <v/>
      </c>
      <c r="F696" s="210"/>
      <c r="G696" s="210"/>
      <c r="H696" s="211"/>
    </row>
    <row r="697" ht="15.75" customHeight="1">
      <c r="B697" s="225"/>
      <c r="C697" s="187"/>
      <c r="D697" s="232"/>
      <c r="E697" s="221" t="str">
        <f t="shared" si="1"/>
        <v/>
      </c>
      <c r="F697" s="214"/>
      <c r="G697" s="214"/>
      <c r="H697" s="215"/>
    </row>
    <row r="698" ht="15.75" customHeight="1">
      <c r="B698" s="190"/>
      <c r="C698" s="183"/>
      <c r="D698" s="233"/>
      <c r="E698" s="173" t="str">
        <f t="shared" si="1"/>
        <v/>
      </c>
      <c r="F698" s="210"/>
      <c r="G698" s="210"/>
      <c r="H698" s="211"/>
    </row>
    <row r="699" ht="15.75" customHeight="1">
      <c r="B699" s="225"/>
      <c r="C699" s="187"/>
      <c r="D699" s="232"/>
      <c r="E699" s="221" t="str">
        <f t="shared" si="1"/>
        <v/>
      </c>
      <c r="F699" s="214"/>
      <c r="G699" s="214"/>
      <c r="H699" s="215"/>
    </row>
    <row r="700" ht="15.75" customHeight="1">
      <c r="B700" s="190"/>
      <c r="C700" s="183"/>
      <c r="D700" s="233"/>
      <c r="E700" s="173" t="str">
        <f t="shared" si="1"/>
        <v/>
      </c>
      <c r="F700" s="210"/>
      <c r="G700" s="210"/>
      <c r="H700" s="211"/>
    </row>
    <row r="701" ht="15.75" customHeight="1">
      <c r="B701" s="225"/>
      <c r="C701" s="187"/>
      <c r="D701" s="232"/>
      <c r="E701" s="221" t="str">
        <f t="shared" si="1"/>
        <v/>
      </c>
      <c r="F701" s="214"/>
      <c r="G701" s="214"/>
      <c r="H701" s="215"/>
    </row>
    <row r="702" ht="15.75" customHeight="1">
      <c r="B702" s="190"/>
      <c r="C702" s="183"/>
      <c r="D702" s="233"/>
      <c r="E702" s="173" t="str">
        <f t="shared" si="1"/>
        <v/>
      </c>
      <c r="F702" s="210"/>
      <c r="G702" s="210"/>
      <c r="H702" s="211"/>
    </row>
    <row r="703" ht="15.75" customHeight="1">
      <c r="B703" s="225"/>
      <c r="C703" s="187"/>
      <c r="D703" s="232"/>
      <c r="E703" s="221" t="str">
        <f t="shared" si="1"/>
        <v/>
      </c>
      <c r="F703" s="214"/>
      <c r="G703" s="214"/>
      <c r="H703" s="215"/>
    </row>
    <row r="704" ht="15.75" customHeight="1">
      <c r="B704" s="190"/>
      <c r="C704" s="183"/>
      <c r="D704" s="233"/>
      <c r="E704" s="173" t="str">
        <f t="shared" si="1"/>
        <v/>
      </c>
      <c r="F704" s="210"/>
      <c r="G704" s="210"/>
      <c r="H704" s="211"/>
    </row>
    <row r="705" ht="15.75" customHeight="1">
      <c r="B705" s="225"/>
      <c r="C705" s="187"/>
      <c r="D705" s="232"/>
      <c r="E705" s="221" t="str">
        <f t="shared" si="1"/>
        <v/>
      </c>
      <c r="F705" s="214"/>
      <c r="G705" s="214"/>
      <c r="H705" s="215"/>
    </row>
    <row r="706" ht="15.75" customHeight="1">
      <c r="B706" s="190"/>
      <c r="C706" s="183"/>
      <c r="D706" s="233"/>
      <c r="E706" s="173" t="str">
        <f t="shared" si="1"/>
        <v/>
      </c>
      <c r="F706" s="210"/>
      <c r="G706" s="210"/>
      <c r="H706" s="211"/>
    </row>
    <row r="707" ht="15.75" customHeight="1">
      <c r="B707" s="225"/>
      <c r="C707" s="187"/>
      <c r="D707" s="232"/>
      <c r="E707" s="221" t="str">
        <f t="shared" si="1"/>
        <v/>
      </c>
      <c r="F707" s="214"/>
      <c r="G707" s="214"/>
      <c r="H707" s="215"/>
    </row>
    <row r="708" ht="15.75" customHeight="1">
      <c r="B708" s="190"/>
      <c r="C708" s="183"/>
      <c r="D708" s="233"/>
      <c r="E708" s="173" t="str">
        <f t="shared" si="1"/>
        <v/>
      </c>
      <c r="F708" s="210"/>
      <c r="G708" s="210"/>
      <c r="H708" s="211"/>
    </row>
    <row r="709" ht="15.75" customHeight="1">
      <c r="B709" s="225"/>
      <c r="C709" s="187"/>
      <c r="D709" s="232"/>
      <c r="E709" s="221" t="str">
        <f t="shared" si="1"/>
        <v/>
      </c>
      <c r="F709" s="214"/>
      <c r="G709" s="214"/>
      <c r="H709" s="215"/>
    </row>
    <row r="710" ht="15.75" customHeight="1">
      <c r="B710" s="190"/>
      <c r="C710" s="183"/>
      <c r="D710" s="233"/>
      <c r="E710" s="173" t="str">
        <f t="shared" si="1"/>
        <v/>
      </c>
      <c r="F710" s="210"/>
      <c r="G710" s="210"/>
      <c r="H710" s="211"/>
    </row>
    <row r="711" ht="15.75" customHeight="1">
      <c r="B711" s="225"/>
      <c r="C711" s="187"/>
      <c r="D711" s="232"/>
      <c r="E711" s="221" t="str">
        <f t="shared" si="1"/>
        <v/>
      </c>
      <c r="F711" s="214"/>
      <c r="G711" s="214"/>
      <c r="H711" s="215"/>
    </row>
    <row r="712" ht="15.75" customHeight="1">
      <c r="B712" s="190"/>
      <c r="C712" s="183"/>
      <c r="D712" s="233"/>
      <c r="E712" s="173" t="str">
        <f t="shared" si="1"/>
        <v/>
      </c>
      <c r="F712" s="210"/>
      <c r="G712" s="210"/>
      <c r="H712" s="211"/>
    </row>
    <row r="713" ht="15.75" customHeight="1">
      <c r="B713" s="225"/>
      <c r="C713" s="187"/>
      <c r="D713" s="232"/>
      <c r="E713" s="221" t="str">
        <f t="shared" si="1"/>
        <v/>
      </c>
      <c r="F713" s="214"/>
      <c r="G713" s="214"/>
      <c r="H713" s="215"/>
    </row>
    <row r="714" ht="15.75" customHeight="1">
      <c r="B714" s="190"/>
      <c r="C714" s="183"/>
      <c r="D714" s="233"/>
      <c r="E714" s="173" t="str">
        <f t="shared" si="1"/>
        <v/>
      </c>
      <c r="F714" s="210"/>
      <c r="G714" s="210"/>
      <c r="H714" s="211"/>
    </row>
    <row r="715" ht="15.75" customHeight="1">
      <c r="B715" s="225"/>
      <c r="C715" s="187"/>
      <c r="D715" s="232"/>
      <c r="E715" s="221" t="str">
        <f t="shared" si="1"/>
        <v/>
      </c>
      <c r="F715" s="214"/>
      <c r="G715" s="214"/>
      <c r="H715" s="215"/>
    </row>
    <row r="716" ht="15.75" customHeight="1">
      <c r="B716" s="190"/>
      <c r="C716" s="183"/>
      <c r="D716" s="233"/>
      <c r="E716" s="173" t="str">
        <f t="shared" si="1"/>
        <v/>
      </c>
      <c r="F716" s="210"/>
      <c r="G716" s="210"/>
      <c r="H716" s="211"/>
    </row>
    <row r="717" ht="15.75" customHeight="1">
      <c r="B717" s="225"/>
      <c r="C717" s="187"/>
      <c r="D717" s="232"/>
      <c r="E717" s="221" t="str">
        <f t="shared" si="1"/>
        <v/>
      </c>
      <c r="F717" s="214"/>
      <c r="G717" s="214"/>
      <c r="H717" s="215"/>
    </row>
    <row r="718" ht="15.75" customHeight="1">
      <c r="B718" s="190"/>
      <c r="C718" s="183"/>
      <c r="D718" s="233"/>
      <c r="E718" s="173" t="str">
        <f t="shared" si="1"/>
        <v/>
      </c>
      <c r="F718" s="210"/>
      <c r="G718" s="210"/>
      <c r="H718" s="211"/>
    </row>
    <row r="719" ht="15.75" customHeight="1">
      <c r="B719" s="225"/>
      <c r="C719" s="187"/>
      <c r="D719" s="232"/>
      <c r="E719" s="221" t="str">
        <f t="shared" si="1"/>
        <v/>
      </c>
      <c r="F719" s="214"/>
      <c r="G719" s="214"/>
      <c r="H719" s="215"/>
    </row>
    <row r="720" ht="15.75" customHeight="1">
      <c r="B720" s="190"/>
      <c r="C720" s="183"/>
      <c r="D720" s="233"/>
      <c r="E720" s="173" t="str">
        <f t="shared" si="1"/>
        <v/>
      </c>
      <c r="F720" s="210"/>
      <c r="G720" s="210"/>
      <c r="H720" s="211"/>
    </row>
    <row r="721" ht="15.75" customHeight="1">
      <c r="B721" s="225"/>
      <c r="C721" s="187"/>
      <c r="D721" s="232"/>
      <c r="E721" s="221" t="str">
        <f t="shared" si="1"/>
        <v/>
      </c>
      <c r="F721" s="214"/>
      <c r="G721" s="214"/>
      <c r="H721" s="215"/>
    </row>
    <row r="722" ht="15.75" customHeight="1">
      <c r="B722" s="190"/>
      <c r="C722" s="183"/>
      <c r="D722" s="233"/>
      <c r="E722" s="173" t="str">
        <f t="shared" si="1"/>
        <v/>
      </c>
      <c r="F722" s="210"/>
      <c r="G722" s="210"/>
      <c r="H722" s="211"/>
    </row>
    <row r="723" ht="15.75" customHeight="1">
      <c r="B723" s="225"/>
      <c r="C723" s="187"/>
      <c r="D723" s="232"/>
      <c r="E723" s="221" t="str">
        <f t="shared" si="1"/>
        <v/>
      </c>
      <c r="F723" s="214"/>
      <c r="G723" s="214"/>
      <c r="H723" s="215"/>
    </row>
    <row r="724" ht="15.75" customHeight="1">
      <c r="B724" s="190"/>
      <c r="C724" s="183"/>
      <c r="D724" s="233"/>
      <c r="E724" s="173" t="str">
        <f t="shared" si="1"/>
        <v/>
      </c>
      <c r="F724" s="210"/>
      <c r="G724" s="210"/>
      <c r="H724" s="211"/>
    </row>
    <row r="725" ht="15.75" customHeight="1">
      <c r="B725" s="225"/>
      <c r="C725" s="187"/>
      <c r="D725" s="232"/>
      <c r="E725" s="221" t="str">
        <f t="shared" si="1"/>
        <v/>
      </c>
      <c r="F725" s="214"/>
      <c r="G725" s="214"/>
      <c r="H725" s="215"/>
    </row>
    <row r="726" ht="15.75" customHeight="1">
      <c r="B726" s="190"/>
      <c r="C726" s="183"/>
      <c r="D726" s="233"/>
      <c r="E726" s="173" t="str">
        <f t="shared" si="1"/>
        <v/>
      </c>
      <c r="F726" s="210"/>
      <c r="G726" s="210"/>
      <c r="H726" s="211"/>
    </row>
    <row r="727" ht="15.75" customHeight="1">
      <c r="B727" s="225"/>
      <c r="C727" s="187"/>
      <c r="D727" s="232"/>
      <c r="E727" s="221" t="str">
        <f t="shared" si="1"/>
        <v/>
      </c>
      <c r="F727" s="214"/>
      <c r="G727" s="214"/>
      <c r="H727" s="215"/>
    </row>
    <row r="728" ht="15.75" customHeight="1">
      <c r="B728" s="190"/>
      <c r="C728" s="183"/>
      <c r="D728" s="233"/>
      <c r="E728" s="173" t="str">
        <f t="shared" si="1"/>
        <v/>
      </c>
      <c r="F728" s="210"/>
      <c r="G728" s="210"/>
      <c r="H728" s="211"/>
    </row>
    <row r="729" ht="15.75" customHeight="1">
      <c r="B729" s="225"/>
      <c r="C729" s="187"/>
      <c r="D729" s="232"/>
      <c r="E729" s="221" t="str">
        <f t="shared" si="1"/>
        <v/>
      </c>
      <c r="F729" s="214"/>
      <c r="G729" s="214"/>
      <c r="H729" s="215"/>
    </row>
    <row r="730" ht="15.75" customHeight="1">
      <c r="B730" s="190"/>
      <c r="C730" s="183"/>
      <c r="D730" s="233"/>
      <c r="E730" s="173" t="str">
        <f t="shared" si="1"/>
        <v/>
      </c>
      <c r="F730" s="210"/>
      <c r="G730" s="210"/>
      <c r="H730" s="211"/>
    </row>
    <row r="731" ht="15.75" customHeight="1">
      <c r="B731" s="225"/>
      <c r="C731" s="187"/>
      <c r="D731" s="232"/>
      <c r="E731" s="221" t="str">
        <f t="shared" si="1"/>
        <v/>
      </c>
      <c r="F731" s="214"/>
      <c r="G731" s="214"/>
      <c r="H731" s="215"/>
    </row>
    <row r="732" ht="15.75" customHeight="1">
      <c r="B732" s="190"/>
      <c r="C732" s="183"/>
      <c r="D732" s="233"/>
      <c r="E732" s="173" t="str">
        <f t="shared" si="1"/>
        <v/>
      </c>
      <c r="F732" s="210"/>
      <c r="G732" s="210"/>
      <c r="H732" s="211"/>
    </row>
    <row r="733" ht="15.75" customHeight="1">
      <c r="B733" s="225"/>
      <c r="C733" s="187"/>
      <c r="D733" s="232"/>
      <c r="E733" s="221" t="str">
        <f t="shared" si="1"/>
        <v/>
      </c>
      <c r="F733" s="214"/>
      <c r="G733" s="214"/>
      <c r="H733" s="215"/>
    </row>
    <row r="734" ht="15.75" customHeight="1">
      <c r="B734" s="190"/>
      <c r="C734" s="183"/>
      <c r="D734" s="233"/>
      <c r="E734" s="173" t="str">
        <f t="shared" si="1"/>
        <v/>
      </c>
      <c r="F734" s="210"/>
      <c r="G734" s="210"/>
      <c r="H734" s="211"/>
    </row>
    <row r="735" ht="15.75" customHeight="1">
      <c r="B735" s="225"/>
      <c r="C735" s="187"/>
      <c r="D735" s="232"/>
      <c r="E735" s="221" t="str">
        <f t="shared" si="1"/>
        <v/>
      </c>
      <c r="F735" s="214"/>
      <c r="G735" s="214"/>
      <c r="H735" s="215"/>
    </row>
    <row r="736" ht="15.75" customHeight="1">
      <c r="B736" s="190"/>
      <c r="C736" s="183"/>
      <c r="D736" s="233"/>
      <c r="E736" s="173" t="str">
        <f t="shared" si="1"/>
        <v/>
      </c>
      <c r="F736" s="210"/>
      <c r="G736" s="210"/>
      <c r="H736" s="211"/>
    </row>
    <row r="737" ht="15.75" customHeight="1">
      <c r="B737" s="225"/>
      <c r="C737" s="187"/>
      <c r="D737" s="232"/>
      <c r="E737" s="221" t="str">
        <f t="shared" si="1"/>
        <v/>
      </c>
      <c r="F737" s="214"/>
      <c r="G737" s="214"/>
      <c r="H737" s="215"/>
    </row>
    <row r="738" ht="15.75" customHeight="1">
      <c r="B738" s="190"/>
      <c r="C738" s="183"/>
      <c r="D738" s="233"/>
      <c r="E738" s="173" t="str">
        <f t="shared" si="1"/>
        <v/>
      </c>
      <c r="F738" s="210"/>
      <c r="G738" s="210"/>
      <c r="H738" s="211"/>
    </row>
    <row r="739" ht="15.75" customHeight="1">
      <c r="B739" s="225"/>
      <c r="C739" s="187"/>
      <c r="D739" s="232"/>
      <c r="E739" s="221" t="str">
        <f t="shared" si="1"/>
        <v/>
      </c>
      <c r="F739" s="214"/>
      <c r="G739" s="214"/>
      <c r="H739" s="215"/>
    </row>
    <row r="740" ht="15.75" customHeight="1">
      <c r="B740" s="190"/>
      <c r="C740" s="183"/>
      <c r="D740" s="233"/>
      <c r="E740" s="173" t="str">
        <f t="shared" si="1"/>
        <v/>
      </c>
      <c r="F740" s="210"/>
      <c r="G740" s="210"/>
      <c r="H740" s="211"/>
    </row>
    <row r="741" ht="15.75" customHeight="1">
      <c r="B741" s="225"/>
      <c r="C741" s="187"/>
      <c r="D741" s="232"/>
      <c r="E741" s="221" t="str">
        <f t="shared" si="1"/>
        <v/>
      </c>
      <c r="F741" s="214"/>
      <c r="G741" s="214"/>
      <c r="H741" s="215"/>
    </row>
    <row r="742" ht="15.75" customHeight="1">
      <c r="B742" s="190"/>
      <c r="C742" s="183"/>
      <c r="D742" s="233"/>
      <c r="E742" s="173" t="str">
        <f t="shared" si="1"/>
        <v/>
      </c>
      <c r="F742" s="210"/>
      <c r="G742" s="210"/>
      <c r="H742" s="211"/>
    </row>
    <row r="743" ht="15.75" customHeight="1">
      <c r="B743" s="225"/>
      <c r="C743" s="187"/>
      <c r="D743" s="232"/>
      <c r="E743" s="221" t="str">
        <f t="shared" si="1"/>
        <v/>
      </c>
      <c r="F743" s="214"/>
      <c r="G743" s="214"/>
      <c r="H743" s="215"/>
    </row>
    <row r="744" ht="15.75" customHeight="1">
      <c r="B744" s="190"/>
      <c r="C744" s="183"/>
      <c r="D744" s="233"/>
      <c r="E744" s="173" t="str">
        <f t="shared" si="1"/>
        <v/>
      </c>
      <c r="F744" s="210"/>
      <c r="G744" s="210"/>
      <c r="H744" s="211"/>
    </row>
    <row r="745" ht="15.75" customHeight="1">
      <c r="B745" s="225"/>
      <c r="C745" s="187"/>
      <c r="D745" s="232"/>
      <c r="E745" s="221" t="str">
        <f t="shared" si="1"/>
        <v/>
      </c>
      <c r="F745" s="214"/>
      <c r="G745" s="214"/>
      <c r="H745" s="215"/>
    </row>
    <row r="746" ht="15.75" customHeight="1">
      <c r="B746" s="190"/>
      <c r="C746" s="183"/>
      <c r="D746" s="233"/>
      <c r="E746" s="173" t="str">
        <f t="shared" si="1"/>
        <v/>
      </c>
      <c r="F746" s="210"/>
      <c r="G746" s="210"/>
      <c r="H746" s="211"/>
    </row>
    <row r="747" ht="15.75" customHeight="1">
      <c r="B747" s="225"/>
      <c r="C747" s="187"/>
      <c r="D747" s="232"/>
      <c r="E747" s="221" t="str">
        <f t="shared" si="1"/>
        <v/>
      </c>
      <c r="F747" s="214"/>
      <c r="G747" s="214"/>
      <c r="H747" s="215"/>
    </row>
    <row r="748" ht="15.75" customHeight="1">
      <c r="B748" s="190"/>
      <c r="C748" s="183"/>
      <c r="D748" s="233"/>
      <c r="E748" s="173" t="str">
        <f t="shared" si="1"/>
        <v/>
      </c>
      <c r="F748" s="210"/>
      <c r="G748" s="210"/>
      <c r="H748" s="211"/>
    </row>
    <row r="749" ht="15.75" customHeight="1">
      <c r="B749" s="225"/>
      <c r="C749" s="187"/>
      <c r="D749" s="232"/>
      <c r="E749" s="221" t="str">
        <f t="shared" si="1"/>
        <v/>
      </c>
      <c r="F749" s="214"/>
      <c r="G749" s="214"/>
      <c r="H749" s="215"/>
    </row>
    <row r="750" ht="15.75" customHeight="1">
      <c r="B750" s="190"/>
      <c r="C750" s="183"/>
      <c r="D750" s="233"/>
      <c r="E750" s="173" t="str">
        <f t="shared" si="1"/>
        <v/>
      </c>
      <c r="F750" s="210"/>
      <c r="G750" s="210"/>
      <c r="H750" s="211"/>
    </row>
    <row r="751" ht="15.75" customHeight="1">
      <c r="B751" s="225"/>
      <c r="C751" s="187"/>
      <c r="D751" s="232"/>
      <c r="E751" s="221" t="str">
        <f t="shared" si="1"/>
        <v/>
      </c>
      <c r="F751" s="214"/>
      <c r="G751" s="214"/>
      <c r="H751" s="215"/>
    </row>
    <row r="752" ht="15.75" customHeight="1">
      <c r="B752" s="190"/>
      <c r="C752" s="183"/>
      <c r="D752" s="233"/>
      <c r="E752" s="173" t="str">
        <f t="shared" si="1"/>
        <v/>
      </c>
      <c r="F752" s="210"/>
      <c r="G752" s="210"/>
      <c r="H752" s="211"/>
    </row>
    <row r="753" ht="15.75" customHeight="1">
      <c r="B753" s="225"/>
      <c r="C753" s="187"/>
      <c r="D753" s="232"/>
      <c r="E753" s="221" t="str">
        <f t="shared" si="1"/>
        <v/>
      </c>
      <c r="F753" s="214"/>
      <c r="G753" s="214"/>
      <c r="H753" s="215"/>
    </row>
    <row r="754" ht="15.75" customHeight="1">
      <c r="B754" s="190"/>
      <c r="C754" s="183"/>
      <c r="D754" s="233"/>
      <c r="E754" s="173" t="str">
        <f t="shared" si="1"/>
        <v/>
      </c>
      <c r="F754" s="210"/>
      <c r="G754" s="210"/>
      <c r="H754" s="211"/>
    </row>
    <row r="755" ht="15.75" customHeight="1">
      <c r="B755" s="225"/>
      <c r="C755" s="187"/>
      <c r="D755" s="232"/>
      <c r="E755" s="221" t="str">
        <f t="shared" si="1"/>
        <v/>
      </c>
      <c r="F755" s="214"/>
      <c r="G755" s="214"/>
      <c r="H755" s="215"/>
    </row>
    <row r="756" ht="15.75" customHeight="1">
      <c r="B756" s="190"/>
      <c r="C756" s="183"/>
      <c r="D756" s="233"/>
      <c r="E756" s="173" t="str">
        <f t="shared" si="1"/>
        <v/>
      </c>
      <c r="F756" s="210"/>
      <c r="G756" s="210"/>
      <c r="H756" s="211"/>
    </row>
    <row r="757" ht="15.75" customHeight="1">
      <c r="B757" s="225"/>
      <c r="C757" s="187"/>
      <c r="D757" s="232"/>
      <c r="E757" s="221" t="str">
        <f t="shared" si="1"/>
        <v/>
      </c>
      <c r="F757" s="214"/>
      <c r="G757" s="214"/>
      <c r="H757" s="215"/>
    </row>
    <row r="758" ht="15.75" customHeight="1">
      <c r="B758" s="190"/>
      <c r="C758" s="183"/>
      <c r="D758" s="233"/>
      <c r="E758" s="173" t="str">
        <f t="shared" si="1"/>
        <v/>
      </c>
      <c r="F758" s="210"/>
      <c r="G758" s="210"/>
      <c r="H758" s="211"/>
    </row>
    <row r="759" ht="15.75" customHeight="1">
      <c r="B759" s="225"/>
      <c r="C759" s="187"/>
      <c r="D759" s="232"/>
      <c r="E759" s="221" t="str">
        <f t="shared" si="1"/>
        <v/>
      </c>
      <c r="F759" s="214"/>
      <c r="G759" s="214"/>
      <c r="H759" s="215"/>
    </row>
    <row r="760" ht="15.75" customHeight="1">
      <c r="B760" s="190"/>
      <c r="C760" s="183"/>
      <c r="D760" s="233"/>
      <c r="E760" s="173" t="str">
        <f t="shared" si="1"/>
        <v/>
      </c>
      <c r="F760" s="210"/>
      <c r="G760" s="210"/>
      <c r="H760" s="211"/>
    </row>
    <row r="761" ht="15.75" customHeight="1">
      <c r="B761" s="225"/>
      <c r="C761" s="187"/>
      <c r="D761" s="232"/>
      <c r="E761" s="221" t="str">
        <f t="shared" si="1"/>
        <v/>
      </c>
      <c r="F761" s="214"/>
      <c r="G761" s="214"/>
      <c r="H761" s="215"/>
    </row>
    <row r="762" ht="15.75" customHeight="1">
      <c r="B762" s="190"/>
      <c r="C762" s="183"/>
      <c r="D762" s="233"/>
      <c r="E762" s="173" t="str">
        <f t="shared" si="1"/>
        <v/>
      </c>
      <c r="F762" s="210"/>
      <c r="G762" s="210"/>
      <c r="H762" s="211"/>
    </row>
    <row r="763" ht="15.75" customHeight="1">
      <c r="B763" s="225"/>
      <c r="C763" s="187"/>
      <c r="D763" s="232"/>
      <c r="E763" s="221" t="str">
        <f t="shared" si="1"/>
        <v/>
      </c>
      <c r="F763" s="214"/>
      <c r="G763" s="214"/>
      <c r="H763" s="215"/>
    </row>
    <row r="764" ht="15.75" customHeight="1">
      <c r="B764" s="190"/>
      <c r="C764" s="183"/>
      <c r="D764" s="233"/>
      <c r="E764" s="173" t="str">
        <f t="shared" si="1"/>
        <v/>
      </c>
      <c r="F764" s="210"/>
      <c r="G764" s="210"/>
      <c r="H764" s="211"/>
    </row>
    <row r="765" ht="15.75" customHeight="1">
      <c r="B765" s="225"/>
      <c r="C765" s="187"/>
      <c r="D765" s="232"/>
      <c r="E765" s="221" t="str">
        <f t="shared" si="1"/>
        <v/>
      </c>
      <c r="F765" s="214"/>
      <c r="G765" s="214"/>
      <c r="H765" s="215"/>
    </row>
    <row r="766" ht="15.75" customHeight="1">
      <c r="B766" s="190"/>
      <c r="C766" s="183"/>
      <c r="D766" s="233"/>
      <c r="E766" s="173" t="str">
        <f t="shared" si="1"/>
        <v/>
      </c>
      <c r="F766" s="210"/>
      <c r="G766" s="210"/>
      <c r="H766" s="211"/>
    </row>
    <row r="767" ht="15.75" customHeight="1">
      <c r="B767" s="225"/>
      <c r="C767" s="187"/>
      <c r="D767" s="232"/>
      <c r="E767" s="221" t="str">
        <f t="shared" si="1"/>
        <v/>
      </c>
      <c r="F767" s="214"/>
      <c r="G767" s="214"/>
      <c r="H767" s="215"/>
    </row>
    <row r="768" ht="15.75" customHeight="1">
      <c r="B768" s="190"/>
      <c r="C768" s="183"/>
      <c r="D768" s="233"/>
      <c r="E768" s="173" t="str">
        <f t="shared" si="1"/>
        <v/>
      </c>
      <c r="F768" s="210"/>
      <c r="G768" s="210"/>
      <c r="H768" s="211"/>
    </row>
    <row r="769" ht="15.75" customHeight="1">
      <c r="B769" s="225"/>
      <c r="C769" s="187"/>
      <c r="D769" s="232"/>
      <c r="E769" s="221" t="str">
        <f t="shared" si="1"/>
        <v/>
      </c>
      <c r="F769" s="214"/>
      <c r="G769" s="214"/>
      <c r="H769" s="215"/>
    </row>
    <row r="770" ht="15.75" customHeight="1">
      <c r="B770" s="190"/>
      <c r="C770" s="183"/>
      <c r="D770" s="233"/>
      <c r="E770" s="173" t="str">
        <f t="shared" si="1"/>
        <v/>
      </c>
      <c r="F770" s="210"/>
      <c r="G770" s="210"/>
      <c r="H770" s="211"/>
    </row>
    <row r="771" ht="15.75" customHeight="1">
      <c r="B771" s="225"/>
      <c r="C771" s="187"/>
      <c r="D771" s="232"/>
      <c r="E771" s="221" t="str">
        <f t="shared" si="1"/>
        <v/>
      </c>
      <c r="F771" s="214"/>
      <c r="G771" s="214"/>
      <c r="H771" s="215"/>
    </row>
    <row r="772" ht="15.75" customHeight="1">
      <c r="B772" s="190"/>
      <c r="C772" s="183"/>
      <c r="D772" s="233"/>
      <c r="E772" s="173" t="str">
        <f t="shared" si="1"/>
        <v/>
      </c>
      <c r="F772" s="210"/>
      <c r="G772" s="210"/>
      <c r="H772" s="211"/>
    </row>
    <row r="773" ht="15.75" customHeight="1">
      <c r="B773" s="225"/>
      <c r="C773" s="187"/>
      <c r="D773" s="232"/>
      <c r="E773" s="221" t="str">
        <f t="shared" si="1"/>
        <v/>
      </c>
      <c r="F773" s="214"/>
      <c r="G773" s="214"/>
      <c r="H773" s="215"/>
    </row>
    <row r="774" ht="15.75" customHeight="1">
      <c r="B774" s="190"/>
      <c r="C774" s="183"/>
      <c r="D774" s="233"/>
      <c r="E774" s="173" t="str">
        <f t="shared" si="1"/>
        <v/>
      </c>
      <c r="F774" s="210"/>
      <c r="G774" s="210"/>
      <c r="H774" s="211"/>
    </row>
    <row r="775" ht="15.75" customHeight="1">
      <c r="B775" s="225"/>
      <c r="C775" s="187"/>
      <c r="D775" s="232"/>
      <c r="E775" s="221" t="str">
        <f t="shared" si="1"/>
        <v/>
      </c>
      <c r="F775" s="214"/>
      <c r="G775" s="214"/>
      <c r="H775" s="215"/>
    </row>
    <row r="776" ht="15.75" customHeight="1">
      <c r="B776" s="190"/>
      <c r="C776" s="183"/>
      <c r="D776" s="233"/>
      <c r="E776" s="173" t="str">
        <f t="shared" si="1"/>
        <v/>
      </c>
      <c r="F776" s="210"/>
      <c r="G776" s="210"/>
      <c r="H776" s="211"/>
    </row>
    <row r="777" ht="15.75" customHeight="1">
      <c r="B777" s="225"/>
      <c r="C777" s="187"/>
      <c r="D777" s="232"/>
      <c r="E777" s="221" t="str">
        <f t="shared" si="1"/>
        <v/>
      </c>
      <c r="F777" s="214"/>
      <c r="G777" s="214"/>
      <c r="H777" s="215"/>
    </row>
    <row r="778" ht="15.75" customHeight="1">
      <c r="B778" s="190"/>
      <c r="C778" s="183"/>
      <c r="D778" s="233"/>
      <c r="E778" s="173" t="str">
        <f t="shared" si="1"/>
        <v/>
      </c>
      <c r="F778" s="210"/>
      <c r="G778" s="210"/>
      <c r="H778" s="211"/>
    </row>
    <row r="779" ht="15.75" customHeight="1">
      <c r="B779" s="225"/>
      <c r="C779" s="187"/>
      <c r="D779" s="232"/>
      <c r="E779" s="221" t="str">
        <f t="shared" si="1"/>
        <v/>
      </c>
      <c r="F779" s="214"/>
      <c r="G779" s="214"/>
      <c r="H779" s="215"/>
    </row>
    <row r="780" ht="15.75" customHeight="1">
      <c r="B780" s="190"/>
      <c r="C780" s="183"/>
      <c r="D780" s="233"/>
      <c r="E780" s="173" t="str">
        <f t="shared" si="1"/>
        <v/>
      </c>
      <c r="F780" s="210"/>
      <c r="G780" s="210"/>
      <c r="H780" s="211"/>
    </row>
    <row r="781" ht="15.75" customHeight="1">
      <c r="B781" s="225"/>
      <c r="C781" s="187"/>
      <c r="D781" s="232"/>
      <c r="E781" s="221" t="str">
        <f t="shared" si="1"/>
        <v/>
      </c>
      <c r="F781" s="214"/>
      <c r="G781" s="214"/>
      <c r="H781" s="215"/>
    </row>
    <row r="782" ht="15.75" customHeight="1">
      <c r="B782" s="190"/>
      <c r="C782" s="183"/>
      <c r="D782" s="233"/>
      <c r="E782" s="173" t="str">
        <f t="shared" si="1"/>
        <v/>
      </c>
      <c r="F782" s="210"/>
      <c r="G782" s="210"/>
      <c r="H782" s="211"/>
    </row>
    <row r="783" ht="15.75" customHeight="1">
      <c r="B783" s="225"/>
      <c r="C783" s="187"/>
      <c r="D783" s="232"/>
      <c r="E783" s="221" t="str">
        <f t="shared" si="1"/>
        <v/>
      </c>
      <c r="F783" s="214"/>
      <c r="G783" s="214"/>
      <c r="H783" s="215"/>
    </row>
    <row r="784" ht="15.75" customHeight="1">
      <c r="B784" s="190"/>
      <c r="C784" s="183"/>
      <c r="D784" s="233"/>
      <c r="E784" s="173" t="str">
        <f t="shared" si="1"/>
        <v/>
      </c>
      <c r="F784" s="210"/>
      <c r="G784" s="210"/>
      <c r="H784" s="211"/>
    </row>
    <row r="785" ht="15.75" customHeight="1">
      <c r="B785" s="225"/>
      <c r="C785" s="187"/>
      <c r="D785" s="232"/>
      <c r="E785" s="221" t="str">
        <f t="shared" si="1"/>
        <v/>
      </c>
      <c r="F785" s="214"/>
      <c r="G785" s="214"/>
      <c r="H785" s="215"/>
    </row>
    <row r="786" ht="15.75" customHeight="1">
      <c r="B786" s="190"/>
      <c r="C786" s="183"/>
      <c r="D786" s="233"/>
      <c r="E786" s="173" t="str">
        <f t="shared" si="1"/>
        <v/>
      </c>
      <c r="F786" s="210"/>
      <c r="G786" s="210"/>
      <c r="H786" s="211"/>
    </row>
    <row r="787" ht="15.75" customHeight="1">
      <c r="B787" s="225"/>
      <c r="C787" s="187"/>
      <c r="D787" s="232"/>
      <c r="E787" s="221" t="str">
        <f t="shared" si="1"/>
        <v/>
      </c>
      <c r="F787" s="214"/>
      <c r="G787" s="214"/>
      <c r="H787" s="215"/>
    </row>
    <row r="788" ht="15.75" customHeight="1">
      <c r="B788" s="190"/>
      <c r="C788" s="183"/>
      <c r="D788" s="233"/>
      <c r="E788" s="173" t="str">
        <f t="shared" si="1"/>
        <v/>
      </c>
      <c r="F788" s="210"/>
      <c r="G788" s="210"/>
      <c r="H788" s="211"/>
    </row>
    <row r="789" ht="15.75" customHeight="1">
      <c r="B789" s="225"/>
      <c r="C789" s="187"/>
      <c r="D789" s="232"/>
      <c r="E789" s="221" t="str">
        <f t="shared" si="1"/>
        <v/>
      </c>
      <c r="F789" s="214"/>
      <c r="G789" s="214"/>
      <c r="H789" s="215"/>
    </row>
    <row r="790" ht="15.75" customHeight="1">
      <c r="B790" s="190"/>
      <c r="C790" s="183"/>
      <c r="D790" s="233"/>
      <c r="E790" s="173" t="str">
        <f t="shared" si="1"/>
        <v/>
      </c>
      <c r="F790" s="210"/>
      <c r="G790" s="210"/>
      <c r="H790" s="211"/>
    </row>
    <row r="791" ht="15.75" customHeight="1">
      <c r="B791" s="225"/>
      <c r="C791" s="187"/>
      <c r="D791" s="232"/>
      <c r="E791" s="221" t="str">
        <f t="shared" si="1"/>
        <v/>
      </c>
      <c r="F791" s="214"/>
      <c r="G791" s="214"/>
      <c r="H791" s="215"/>
    </row>
    <row r="792" ht="15.75" customHeight="1">
      <c r="B792" s="190"/>
      <c r="C792" s="183"/>
      <c r="D792" s="233"/>
      <c r="E792" s="173" t="str">
        <f t="shared" si="1"/>
        <v/>
      </c>
      <c r="F792" s="210"/>
      <c r="G792" s="210"/>
      <c r="H792" s="211"/>
    </row>
    <row r="793" ht="15.75" customHeight="1">
      <c r="B793" s="225"/>
      <c r="C793" s="187"/>
      <c r="D793" s="232"/>
      <c r="E793" s="221" t="str">
        <f t="shared" si="1"/>
        <v/>
      </c>
      <c r="F793" s="214"/>
      <c r="G793" s="214"/>
      <c r="H793" s="215"/>
    </row>
    <row r="794" ht="15.75" customHeight="1">
      <c r="B794" s="190"/>
      <c r="C794" s="183"/>
      <c r="D794" s="233"/>
      <c r="E794" s="173" t="str">
        <f t="shared" si="1"/>
        <v/>
      </c>
      <c r="F794" s="210"/>
      <c r="G794" s="210"/>
      <c r="H794" s="211"/>
    </row>
    <row r="795" ht="15.75" customHeight="1">
      <c r="B795" s="225"/>
      <c r="C795" s="187"/>
      <c r="D795" s="232"/>
      <c r="E795" s="221" t="str">
        <f t="shared" si="1"/>
        <v/>
      </c>
      <c r="F795" s="214"/>
      <c r="G795" s="214"/>
      <c r="H795" s="215"/>
    </row>
    <row r="796" ht="15.75" customHeight="1">
      <c r="B796" s="190"/>
      <c r="C796" s="183"/>
      <c r="D796" s="233"/>
      <c r="E796" s="173" t="str">
        <f t="shared" si="1"/>
        <v/>
      </c>
      <c r="F796" s="210"/>
      <c r="G796" s="210"/>
      <c r="H796" s="211"/>
    </row>
    <row r="797" ht="15.75" customHeight="1">
      <c r="B797" s="225"/>
      <c r="C797" s="187"/>
      <c r="D797" s="232"/>
      <c r="E797" s="221" t="str">
        <f t="shared" si="1"/>
        <v/>
      </c>
      <c r="F797" s="214"/>
      <c r="G797" s="214"/>
      <c r="H797" s="215"/>
    </row>
    <row r="798" ht="15.75" customHeight="1">
      <c r="B798" s="190"/>
      <c r="C798" s="183"/>
      <c r="D798" s="233"/>
      <c r="E798" s="173" t="str">
        <f t="shared" si="1"/>
        <v/>
      </c>
      <c r="F798" s="210"/>
      <c r="G798" s="210"/>
      <c r="H798" s="211"/>
    </row>
    <row r="799" ht="15.75" customHeight="1">
      <c r="B799" s="225"/>
      <c r="C799" s="187"/>
      <c r="D799" s="232"/>
      <c r="E799" s="221" t="str">
        <f t="shared" si="1"/>
        <v/>
      </c>
      <c r="F799" s="214"/>
      <c r="G799" s="214"/>
      <c r="H799" s="215"/>
    </row>
    <row r="800" ht="15.75" customHeight="1">
      <c r="B800" s="190"/>
      <c r="C800" s="183"/>
      <c r="D800" s="233"/>
      <c r="E800" s="173" t="str">
        <f t="shared" si="1"/>
        <v/>
      </c>
      <c r="F800" s="210"/>
      <c r="G800" s="210"/>
      <c r="H800" s="211"/>
    </row>
    <row r="801" ht="15.75" customHeight="1">
      <c r="B801" s="225"/>
      <c r="C801" s="187"/>
      <c r="D801" s="232"/>
      <c r="E801" s="221" t="str">
        <f t="shared" si="1"/>
        <v/>
      </c>
      <c r="F801" s="214"/>
      <c r="G801" s="214"/>
      <c r="H801" s="215"/>
    </row>
    <row r="802" ht="15.75" customHeight="1">
      <c r="B802" s="190"/>
      <c r="C802" s="183"/>
      <c r="D802" s="233"/>
      <c r="E802" s="173" t="str">
        <f t="shared" si="1"/>
        <v/>
      </c>
      <c r="F802" s="210"/>
      <c r="G802" s="210"/>
      <c r="H802" s="211"/>
    </row>
    <row r="803" ht="15.75" customHeight="1">
      <c r="B803" s="225"/>
      <c r="C803" s="187"/>
      <c r="D803" s="232"/>
      <c r="E803" s="221" t="str">
        <f t="shared" si="1"/>
        <v/>
      </c>
      <c r="F803" s="214"/>
      <c r="G803" s="214"/>
      <c r="H803" s="215"/>
    </row>
    <row r="804" ht="15.75" customHeight="1">
      <c r="B804" s="190"/>
      <c r="C804" s="183"/>
      <c r="D804" s="233"/>
      <c r="E804" s="173" t="str">
        <f t="shared" si="1"/>
        <v/>
      </c>
      <c r="F804" s="210"/>
      <c r="G804" s="210"/>
      <c r="H804" s="211"/>
    </row>
    <row r="805" ht="15.75" customHeight="1">
      <c r="B805" s="225"/>
      <c r="C805" s="187"/>
      <c r="D805" s="232"/>
      <c r="E805" s="221" t="str">
        <f t="shared" si="1"/>
        <v/>
      </c>
      <c r="F805" s="214"/>
      <c r="G805" s="214"/>
      <c r="H805" s="215"/>
    </row>
    <row r="806" ht="15.75" customHeight="1">
      <c r="B806" s="190"/>
      <c r="C806" s="183"/>
      <c r="D806" s="233"/>
      <c r="E806" s="173" t="str">
        <f t="shared" si="1"/>
        <v/>
      </c>
      <c r="F806" s="210"/>
      <c r="G806" s="210"/>
      <c r="H806" s="211"/>
    </row>
    <row r="807" ht="15.75" customHeight="1">
      <c r="B807" s="225"/>
      <c r="C807" s="187"/>
      <c r="D807" s="232"/>
      <c r="E807" s="221" t="str">
        <f t="shared" si="1"/>
        <v/>
      </c>
      <c r="F807" s="214"/>
      <c r="G807" s="214"/>
      <c r="H807" s="215"/>
    </row>
    <row r="808" ht="15.75" customHeight="1">
      <c r="B808" s="190"/>
      <c r="C808" s="183"/>
      <c r="D808" s="233"/>
      <c r="E808" s="173" t="str">
        <f t="shared" si="1"/>
        <v/>
      </c>
      <c r="F808" s="210"/>
      <c r="G808" s="210"/>
      <c r="H808" s="211"/>
    </row>
    <row r="809" ht="15.75" customHeight="1">
      <c r="B809" s="225"/>
      <c r="C809" s="187"/>
      <c r="D809" s="232"/>
      <c r="E809" s="221" t="str">
        <f t="shared" si="1"/>
        <v/>
      </c>
      <c r="F809" s="214"/>
      <c r="G809" s="214"/>
      <c r="H809" s="215"/>
    </row>
    <row r="810" ht="15.75" customHeight="1">
      <c r="B810" s="190"/>
      <c r="C810" s="183"/>
      <c r="D810" s="233"/>
      <c r="E810" s="173" t="str">
        <f t="shared" si="1"/>
        <v/>
      </c>
      <c r="F810" s="210"/>
      <c r="G810" s="210"/>
      <c r="H810" s="211"/>
    </row>
    <row r="811" ht="15.75" customHeight="1">
      <c r="B811" s="225"/>
      <c r="C811" s="187"/>
      <c r="D811" s="232"/>
      <c r="E811" s="221" t="str">
        <f t="shared" si="1"/>
        <v/>
      </c>
      <c r="F811" s="214"/>
      <c r="G811" s="214"/>
      <c r="H811" s="215"/>
    </row>
    <row r="812" ht="15.75" customHeight="1">
      <c r="B812" s="190"/>
      <c r="C812" s="183"/>
      <c r="D812" s="233"/>
      <c r="E812" s="173" t="str">
        <f t="shared" si="1"/>
        <v/>
      </c>
      <c r="F812" s="210"/>
      <c r="G812" s="210"/>
      <c r="H812" s="211"/>
    </row>
    <row r="813" ht="15.75" customHeight="1">
      <c r="B813" s="225"/>
      <c r="C813" s="187"/>
      <c r="D813" s="232"/>
      <c r="E813" s="221" t="str">
        <f t="shared" si="1"/>
        <v/>
      </c>
      <c r="F813" s="214"/>
      <c r="G813" s="214"/>
      <c r="H813" s="215"/>
    </row>
    <row r="814" ht="15.75" customHeight="1">
      <c r="B814" s="190"/>
      <c r="C814" s="183"/>
      <c r="D814" s="233"/>
      <c r="E814" s="173" t="str">
        <f t="shared" si="1"/>
        <v/>
      </c>
      <c r="F814" s="210"/>
      <c r="G814" s="210"/>
      <c r="H814" s="211"/>
    </row>
    <row r="815" ht="15.75" customHeight="1">
      <c r="B815" s="225"/>
      <c r="C815" s="187"/>
      <c r="D815" s="232"/>
      <c r="E815" s="221" t="str">
        <f t="shared" si="1"/>
        <v/>
      </c>
      <c r="F815" s="214"/>
      <c r="G815" s="214"/>
      <c r="H815" s="215"/>
    </row>
    <row r="816" ht="15.75" customHeight="1">
      <c r="B816" s="190"/>
      <c r="C816" s="183"/>
      <c r="D816" s="233"/>
      <c r="E816" s="173" t="str">
        <f t="shared" si="1"/>
        <v/>
      </c>
      <c r="F816" s="210"/>
      <c r="G816" s="210"/>
      <c r="H816" s="211"/>
    </row>
    <row r="817" ht="15.75" customHeight="1">
      <c r="B817" s="225"/>
      <c r="C817" s="187"/>
      <c r="D817" s="232"/>
      <c r="E817" s="221" t="str">
        <f t="shared" si="1"/>
        <v/>
      </c>
      <c r="F817" s="214"/>
      <c r="G817" s="214"/>
      <c r="H817" s="215"/>
    </row>
    <row r="818" ht="15.75" customHeight="1">
      <c r="B818" s="190"/>
      <c r="C818" s="183"/>
      <c r="D818" s="233"/>
      <c r="E818" s="173" t="str">
        <f t="shared" si="1"/>
        <v/>
      </c>
      <c r="F818" s="210"/>
      <c r="G818" s="210"/>
      <c r="H818" s="211"/>
    </row>
    <row r="819" ht="15.75" customHeight="1">
      <c r="B819" s="225"/>
      <c r="C819" s="187"/>
      <c r="D819" s="232"/>
      <c r="E819" s="221" t="str">
        <f t="shared" si="1"/>
        <v/>
      </c>
      <c r="F819" s="214"/>
      <c r="G819" s="214"/>
      <c r="H819" s="215"/>
    </row>
    <row r="820" ht="15.75" customHeight="1">
      <c r="B820" s="190"/>
      <c r="C820" s="183"/>
      <c r="D820" s="233"/>
      <c r="E820" s="173" t="str">
        <f t="shared" si="1"/>
        <v/>
      </c>
      <c r="F820" s="210"/>
      <c r="G820" s="210"/>
      <c r="H820" s="211"/>
    </row>
    <row r="821" ht="15.75" customHeight="1">
      <c r="B821" s="225"/>
      <c r="C821" s="187"/>
      <c r="D821" s="232"/>
      <c r="E821" s="221" t="str">
        <f t="shared" si="1"/>
        <v/>
      </c>
      <c r="F821" s="214"/>
      <c r="G821" s="214"/>
      <c r="H821" s="215"/>
    </row>
    <row r="822" ht="15.75" customHeight="1">
      <c r="B822" s="190"/>
      <c r="C822" s="183"/>
      <c r="D822" s="233"/>
      <c r="E822" s="173" t="str">
        <f t="shared" si="1"/>
        <v/>
      </c>
      <c r="F822" s="210"/>
      <c r="G822" s="210"/>
      <c r="H822" s="211"/>
    </row>
    <row r="823" ht="15.75" customHeight="1">
      <c r="B823" s="225"/>
      <c r="C823" s="187"/>
      <c r="D823" s="232"/>
      <c r="E823" s="221" t="str">
        <f t="shared" si="1"/>
        <v/>
      </c>
      <c r="F823" s="214"/>
      <c r="G823" s="214"/>
      <c r="H823" s="215"/>
    </row>
    <row r="824" ht="15.75" customHeight="1">
      <c r="B824" s="190"/>
      <c r="C824" s="183"/>
      <c r="D824" s="233"/>
      <c r="E824" s="173" t="str">
        <f t="shared" si="1"/>
        <v/>
      </c>
      <c r="F824" s="210"/>
      <c r="G824" s="210"/>
      <c r="H824" s="211"/>
    </row>
    <row r="825" ht="15.75" customHeight="1">
      <c r="B825" s="225"/>
      <c r="C825" s="187"/>
      <c r="D825" s="232"/>
      <c r="E825" s="221" t="str">
        <f t="shared" si="1"/>
        <v/>
      </c>
      <c r="F825" s="214"/>
      <c r="G825" s="214"/>
      <c r="H825" s="215"/>
    </row>
    <row r="826" ht="15.75" customHeight="1">
      <c r="B826" s="190"/>
      <c r="C826" s="183"/>
      <c r="D826" s="233"/>
      <c r="E826" s="173" t="str">
        <f t="shared" si="1"/>
        <v/>
      </c>
      <c r="F826" s="210"/>
      <c r="G826" s="210"/>
      <c r="H826" s="211"/>
    </row>
    <row r="827" ht="15.75" customHeight="1">
      <c r="B827" s="225"/>
      <c r="C827" s="187"/>
      <c r="D827" s="232"/>
      <c r="E827" s="221" t="str">
        <f t="shared" si="1"/>
        <v/>
      </c>
      <c r="F827" s="214"/>
      <c r="G827" s="214"/>
      <c r="H827" s="215"/>
    </row>
    <row r="828" ht="15.75" customHeight="1">
      <c r="B828" s="190"/>
      <c r="C828" s="183"/>
      <c r="D828" s="233"/>
      <c r="E828" s="173" t="str">
        <f t="shared" si="1"/>
        <v/>
      </c>
      <c r="F828" s="210"/>
      <c r="G828" s="210"/>
      <c r="H828" s="211"/>
    </row>
    <row r="829" ht="15.75" customHeight="1">
      <c r="B829" s="225"/>
      <c r="C829" s="187"/>
      <c r="D829" s="232"/>
      <c r="E829" s="221" t="str">
        <f t="shared" si="1"/>
        <v/>
      </c>
      <c r="F829" s="214"/>
      <c r="G829" s="214"/>
      <c r="H829" s="215"/>
    </row>
    <row r="830" ht="15.75" customHeight="1">
      <c r="B830" s="190"/>
      <c r="C830" s="183"/>
      <c r="D830" s="233"/>
      <c r="E830" s="173" t="str">
        <f t="shared" si="1"/>
        <v/>
      </c>
      <c r="F830" s="210"/>
      <c r="G830" s="210"/>
      <c r="H830" s="211"/>
    </row>
    <row r="831" ht="15.75" customHeight="1">
      <c r="B831" s="225"/>
      <c r="C831" s="187"/>
      <c r="D831" s="232"/>
      <c r="E831" s="221" t="str">
        <f t="shared" si="1"/>
        <v/>
      </c>
      <c r="F831" s="214"/>
      <c r="G831" s="214"/>
      <c r="H831" s="215"/>
    </row>
    <row r="832" ht="15.75" customHeight="1">
      <c r="B832" s="190"/>
      <c r="C832" s="183"/>
      <c r="D832" s="233"/>
      <c r="E832" s="173" t="str">
        <f t="shared" si="1"/>
        <v/>
      </c>
      <c r="F832" s="210"/>
      <c r="G832" s="210"/>
      <c r="H832" s="211"/>
    </row>
    <row r="833" ht="15.75" customHeight="1">
      <c r="B833" s="225"/>
      <c r="C833" s="187"/>
      <c r="D833" s="232"/>
      <c r="E833" s="221" t="str">
        <f t="shared" si="1"/>
        <v/>
      </c>
      <c r="F833" s="214"/>
      <c r="G833" s="214"/>
      <c r="H833" s="215"/>
    </row>
    <row r="834" ht="15.75" customHeight="1">
      <c r="B834" s="190"/>
      <c r="C834" s="183"/>
      <c r="D834" s="233"/>
      <c r="E834" s="173" t="str">
        <f t="shared" si="1"/>
        <v/>
      </c>
      <c r="F834" s="210"/>
      <c r="G834" s="210"/>
      <c r="H834" s="211"/>
    </row>
    <row r="835" ht="15.75" customHeight="1">
      <c r="B835" s="225"/>
      <c r="C835" s="187"/>
      <c r="D835" s="232"/>
      <c r="E835" s="221" t="str">
        <f t="shared" si="1"/>
        <v/>
      </c>
      <c r="F835" s="214"/>
      <c r="G835" s="214"/>
      <c r="H835" s="215"/>
    </row>
    <row r="836" ht="15.75" customHeight="1">
      <c r="B836" s="190"/>
      <c r="C836" s="183"/>
      <c r="D836" s="233"/>
      <c r="E836" s="173" t="str">
        <f t="shared" si="1"/>
        <v/>
      </c>
      <c r="F836" s="210"/>
      <c r="G836" s="210"/>
      <c r="H836" s="211"/>
    </row>
    <row r="837" ht="15.75" customHeight="1">
      <c r="B837" s="225"/>
      <c r="C837" s="187"/>
      <c r="D837" s="232"/>
      <c r="E837" s="221" t="str">
        <f t="shared" si="1"/>
        <v/>
      </c>
      <c r="F837" s="214"/>
      <c r="G837" s="214"/>
      <c r="H837" s="215"/>
    </row>
    <row r="838" ht="15.75" customHeight="1">
      <c r="B838" s="190"/>
      <c r="C838" s="183"/>
      <c r="D838" s="233"/>
      <c r="E838" s="173" t="str">
        <f t="shared" si="1"/>
        <v/>
      </c>
      <c r="F838" s="210"/>
      <c r="G838" s="210"/>
      <c r="H838" s="211"/>
    </row>
    <row r="839" ht="15.75" customHeight="1">
      <c r="B839" s="225"/>
      <c r="C839" s="187"/>
      <c r="D839" s="232"/>
      <c r="E839" s="221" t="str">
        <f t="shared" si="1"/>
        <v/>
      </c>
      <c r="F839" s="214"/>
      <c r="G839" s="214"/>
      <c r="H839" s="215"/>
    </row>
    <row r="840" ht="15.75" customHeight="1">
      <c r="B840" s="190"/>
      <c r="C840" s="183"/>
      <c r="D840" s="233"/>
      <c r="E840" s="173" t="str">
        <f t="shared" si="1"/>
        <v/>
      </c>
      <c r="F840" s="210"/>
      <c r="G840" s="210"/>
      <c r="H840" s="211"/>
    </row>
    <row r="841" ht="15.75" customHeight="1">
      <c r="B841" s="225"/>
      <c r="C841" s="187"/>
      <c r="D841" s="232"/>
      <c r="E841" s="221" t="str">
        <f t="shared" si="1"/>
        <v/>
      </c>
      <c r="F841" s="214"/>
      <c r="G841" s="214"/>
      <c r="H841" s="215"/>
    </row>
    <row r="842" ht="15.75" customHeight="1">
      <c r="B842" s="190"/>
      <c r="C842" s="183"/>
      <c r="D842" s="233"/>
      <c r="E842" s="173" t="str">
        <f t="shared" si="1"/>
        <v/>
      </c>
      <c r="F842" s="210"/>
      <c r="G842" s="210"/>
      <c r="H842" s="211"/>
    </row>
    <row r="843" ht="15.75" customHeight="1">
      <c r="B843" s="225"/>
      <c r="C843" s="187"/>
      <c r="D843" s="232"/>
      <c r="E843" s="221" t="str">
        <f t="shared" si="1"/>
        <v/>
      </c>
      <c r="F843" s="214"/>
      <c r="G843" s="214"/>
      <c r="H843" s="215"/>
    </row>
    <row r="844" ht="15.75" customHeight="1">
      <c r="B844" s="190"/>
      <c r="C844" s="183"/>
      <c r="D844" s="233"/>
      <c r="E844" s="173" t="str">
        <f t="shared" si="1"/>
        <v/>
      </c>
      <c r="F844" s="210"/>
      <c r="G844" s="210"/>
      <c r="H844" s="211"/>
    </row>
    <row r="845" ht="15.75" customHeight="1">
      <c r="B845" s="225"/>
      <c r="C845" s="187"/>
      <c r="D845" s="232"/>
      <c r="E845" s="221" t="str">
        <f t="shared" si="1"/>
        <v/>
      </c>
      <c r="F845" s="214"/>
      <c r="G845" s="214"/>
      <c r="H845" s="215"/>
    </row>
    <row r="846" ht="15.75" customHeight="1">
      <c r="B846" s="190"/>
      <c r="C846" s="183"/>
      <c r="D846" s="233"/>
      <c r="E846" s="173" t="str">
        <f t="shared" si="1"/>
        <v/>
      </c>
      <c r="F846" s="210"/>
      <c r="G846" s="210"/>
      <c r="H846" s="211"/>
    </row>
    <row r="847" ht="15.75" customHeight="1">
      <c r="B847" s="225"/>
      <c r="C847" s="187"/>
      <c r="D847" s="232"/>
      <c r="E847" s="221" t="str">
        <f t="shared" si="1"/>
        <v/>
      </c>
      <c r="F847" s="214"/>
      <c r="G847" s="214"/>
      <c r="H847" s="215"/>
    </row>
    <row r="848" ht="15.75" customHeight="1">
      <c r="B848" s="190"/>
      <c r="C848" s="183"/>
      <c r="D848" s="233"/>
      <c r="E848" s="173" t="str">
        <f t="shared" si="1"/>
        <v/>
      </c>
      <c r="F848" s="210"/>
      <c r="G848" s="210"/>
      <c r="H848" s="211"/>
    </row>
    <row r="849" ht="15.75" customHeight="1">
      <c r="B849" s="225"/>
      <c r="C849" s="187"/>
      <c r="D849" s="232"/>
      <c r="E849" s="221" t="str">
        <f t="shared" si="1"/>
        <v/>
      </c>
      <c r="F849" s="214"/>
      <c r="G849" s="214"/>
      <c r="H849" s="215"/>
    </row>
    <row r="850" ht="15.75" customHeight="1">
      <c r="B850" s="190"/>
      <c r="C850" s="183"/>
      <c r="D850" s="233"/>
      <c r="E850" s="173" t="str">
        <f t="shared" si="1"/>
        <v/>
      </c>
      <c r="F850" s="210"/>
      <c r="G850" s="210"/>
      <c r="H850" s="211"/>
    </row>
    <row r="851" ht="15.75" customHeight="1">
      <c r="B851" s="225"/>
      <c r="C851" s="187"/>
      <c r="D851" s="232"/>
      <c r="E851" s="221" t="str">
        <f t="shared" si="1"/>
        <v/>
      </c>
      <c r="F851" s="214"/>
      <c r="G851" s="214"/>
      <c r="H851" s="215"/>
    </row>
    <row r="852" ht="15.75" customHeight="1">
      <c r="B852" s="190"/>
      <c r="C852" s="183"/>
      <c r="D852" s="233"/>
      <c r="E852" s="173" t="str">
        <f t="shared" si="1"/>
        <v/>
      </c>
      <c r="F852" s="210"/>
      <c r="G852" s="210"/>
      <c r="H852" s="211"/>
    </row>
    <row r="853" ht="15.75" customHeight="1">
      <c r="B853" s="225"/>
      <c r="C853" s="187"/>
      <c r="D853" s="232"/>
      <c r="E853" s="221" t="str">
        <f t="shared" si="1"/>
        <v/>
      </c>
      <c r="F853" s="214"/>
      <c r="G853" s="214"/>
      <c r="H853" s="215"/>
    </row>
    <row r="854" ht="15.75" customHeight="1">
      <c r="B854" s="190"/>
      <c r="C854" s="183"/>
      <c r="D854" s="233"/>
      <c r="E854" s="173" t="str">
        <f t="shared" si="1"/>
        <v/>
      </c>
      <c r="F854" s="210"/>
      <c r="G854" s="210"/>
      <c r="H854" s="211"/>
    </row>
    <row r="855" ht="15.75" customHeight="1">
      <c r="B855" s="225"/>
      <c r="C855" s="187"/>
      <c r="D855" s="232"/>
      <c r="E855" s="221" t="str">
        <f t="shared" si="1"/>
        <v/>
      </c>
      <c r="F855" s="214"/>
      <c r="G855" s="214"/>
      <c r="H855" s="215"/>
    </row>
    <row r="856" ht="15.75" customHeight="1">
      <c r="B856" s="190"/>
      <c r="C856" s="183"/>
      <c r="D856" s="233"/>
      <c r="E856" s="173" t="str">
        <f t="shared" si="1"/>
        <v/>
      </c>
      <c r="F856" s="210"/>
      <c r="G856" s="210"/>
      <c r="H856" s="211"/>
    </row>
    <row r="857" ht="15.75" customHeight="1">
      <c r="B857" s="225"/>
      <c r="C857" s="187"/>
      <c r="D857" s="232"/>
      <c r="E857" s="221" t="str">
        <f t="shared" si="1"/>
        <v/>
      </c>
      <c r="F857" s="214"/>
      <c r="G857" s="214"/>
      <c r="H857" s="215"/>
    </row>
    <row r="858" ht="15.75" customHeight="1">
      <c r="B858" s="190"/>
      <c r="C858" s="183"/>
      <c r="D858" s="233"/>
      <c r="E858" s="173" t="str">
        <f t="shared" si="1"/>
        <v/>
      </c>
      <c r="F858" s="210"/>
      <c r="G858" s="210"/>
      <c r="H858" s="211"/>
    </row>
    <row r="859" ht="15.75" customHeight="1">
      <c r="B859" s="225"/>
      <c r="C859" s="187"/>
      <c r="D859" s="232"/>
      <c r="E859" s="221" t="str">
        <f t="shared" si="1"/>
        <v/>
      </c>
      <c r="F859" s="214"/>
      <c r="G859" s="214"/>
      <c r="H859" s="215"/>
    </row>
    <row r="860" ht="15.75" customHeight="1">
      <c r="B860" s="190"/>
      <c r="C860" s="183"/>
      <c r="D860" s="233"/>
      <c r="E860" s="173" t="str">
        <f t="shared" si="1"/>
        <v/>
      </c>
      <c r="F860" s="210"/>
      <c r="G860" s="210"/>
      <c r="H860" s="211"/>
    </row>
    <row r="861" ht="15.75" customHeight="1">
      <c r="B861" s="225"/>
      <c r="C861" s="187"/>
      <c r="D861" s="232"/>
      <c r="E861" s="221" t="str">
        <f t="shared" si="1"/>
        <v/>
      </c>
      <c r="F861" s="214"/>
      <c r="G861" s="214"/>
      <c r="H861" s="215"/>
    </row>
    <row r="862" ht="15.75" customHeight="1">
      <c r="B862" s="190"/>
      <c r="C862" s="183"/>
      <c r="D862" s="233"/>
      <c r="E862" s="173" t="str">
        <f t="shared" si="1"/>
        <v/>
      </c>
      <c r="F862" s="210"/>
      <c r="G862" s="210"/>
      <c r="H862" s="211"/>
    </row>
    <row r="863" ht="15.75" customHeight="1">
      <c r="B863" s="225"/>
      <c r="C863" s="187"/>
      <c r="D863" s="232"/>
      <c r="E863" s="221" t="str">
        <f t="shared" si="1"/>
        <v/>
      </c>
      <c r="F863" s="214"/>
      <c r="G863" s="214"/>
      <c r="H863" s="215"/>
    </row>
    <row r="864" ht="15.75" customHeight="1">
      <c r="B864" s="190"/>
      <c r="C864" s="183"/>
      <c r="D864" s="233"/>
      <c r="E864" s="173" t="str">
        <f t="shared" si="1"/>
        <v/>
      </c>
      <c r="F864" s="210"/>
      <c r="G864" s="210"/>
      <c r="H864" s="211"/>
    </row>
    <row r="865" ht="15.75" customHeight="1">
      <c r="B865" s="225"/>
      <c r="C865" s="187"/>
      <c r="D865" s="232"/>
      <c r="E865" s="221" t="str">
        <f t="shared" si="1"/>
        <v/>
      </c>
      <c r="F865" s="214"/>
      <c r="G865" s="214"/>
      <c r="H865" s="215"/>
    </row>
    <row r="866" ht="15.75" customHeight="1">
      <c r="B866" s="190"/>
      <c r="C866" s="183"/>
      <c r="D866" s="233"/>
      <c r="E866" s="173" t="str">
        <f t="shared" si="1"/>
        <v/>
      </c>
      <c r="F866" s="210"/>
      <c r="G866" s="210"/>
      <c r="H866" s="211"/>
    </row>
    <row r="867" ht="15.75" customHeight="1">
      <c r="B867" s="225"/>
      <c r="C867" s="187"/>
      <c r="D867" s="232"/>
      <c r="E867" s="221" t="str">
        <f t="shared" si="1"/>
        <v/>
      </c>
      <c r="F867" s="214"/>
      <c r="G867" s="214"/>
      <c r="H867" s="215"/>
    </row>
    <row r="868" ht="15.75" customHeight="1">
      <c r="B868" s="190"/>
      <c r="C868" s="183"/>
      <c r="D868" s="233"/>
      <c r="E868" s="173" t="str">
        <f t="shared" si="1"/>
        <v/>
      </c>
      <c r="F868" s="210"/>
      <c r="G868" s="210"/>
      <c r="H868" s="211"/>
    </row>
    <row r="869" ht="15.75" customHeight="1">
      <c r="B869" s="225"/>
      <c r="C869" s="187"/>
      <c r="D869" s="232"/>
      <c r="E869" s="221" t="str">
        <f t="shared" si="1"/>
        <v/>
      </c>
      <c r="F869" s="214"/>
      <c r="G869" s="214"/>
      <c r="H869" s="215"/>
    </row>
    <row r="870" ht="15.75" customHeight="1">
      <c r="B870" s="190"/>
      <c r="C870" s="183"/>
      <c r="D870" s="233"/>
      <c r="E870" s="173" t="str">
        <f t="shared" si="1"/>
        <v/>
      </c>
      <c r="F870" s="210"/>
      <c r="G870" s="210"/>
      <c r="H870" s="211"/>
    </row>
    <row r="871" ht="15.75" customHeight="1">
      <c r="B871" s="225"/>
      <c r="C871" s="187"/>
      <c r="D871" s="232"/>
      <c r="E871" s="221" t="str">
        <f t="shared" si="1"/>
        <v/>
      </c>
      <c r="F871" s="214"/>
      <c r="G871" s="214"/>
      <c r="H871" s="215"/>
    </row>
    <row r="872" ht="15.75" customHeight="1">
      <c r="B872" s="190"/>
      <c r="C872" s="183"/>
      <c r="D872" s="233"/>
      <c r="E872" s="173" t="str">
        <f t="shared" si="1"/>
        <v/>
      </c>
      <c r="F872" s="210"/>
      <c r="G872" s="210"/>
      <c r="H872" s="211"/>
    </row>
    <row r="873" ht="15.75" customHeight="1">
      <c r="B873" s="225"/>
      <c r="C873" s="187"/>
      <c r="D873" s="232"/>
      <c r="E873" s="221" t="str">
        <f t="shared" si="1"/>
        <v/>
      </c>
      <c r="F873" s="214"/>
      <c r="G873" s="214"/>
      <c r="H873" s="215"/>
    </row>
    <row r="874" ht="15.75" customHeight="1">
      <c r="B874" s="190"/>
      <c r="C874" s="183"/>
      <c r="D874" s="233"/>
      <c r="E874" s="173" t="str">
        <f t="shared" si="1"/>
        <v/>
      </c>
      <c r="F874" s="210"/>
      <c r="G874" s="210"/>
      <c r="H874" s="211"/>
    </row>
    <row r="875" ht="15.75" customHeight="1">
      <c r="B875" s="225"/>
      <c r="C875" s="187"/>
      <c r="D875" s="232"/>
      <c r="E875" s="221" t="str">
        <f t="shared" si="1"/>
        <v/>
      </c>
      <c r="F875" s="214"/>
      <c r="G875" s="214"/>
      <c r="H875" s="215"/>
    </row>
    <row r="876" ht="15.75" customHeight="1">
      <c r="B876" s="190"/>
      <c r="C876" s="183"/>
      <c r="D876" s="233"/>
      <c r="E876" s="173" t="str">
        <f t="shared" si="1"/>
        <v/>
      </c>
      <c r="F876" s="210"/>
      <c r="G876" s="210"/>
      <c r="H876" s="211"/>
    </row>
    <row r="877" ht="15.75" customHeight="1">
      <c r="B877" s="225"/>
      <c r="C877" s="187"/>
      <c r="D877" s="232"/>
      <c r="E877" s="221" t="str">
        <f t="shared" si="1"/>
        <v/>
      </c>
      <c r="F877" s="214"/>
      <c r="G877" s="214"/>
      <c r="H877" s="215"/>
    </row>
    <row r="878" ht="15.75" customHeight="1">
      <c r="B878" s="190"/>
      <c r="C878" s="183"/>
      <c r="D878" s="233"/>
      <c r="E878" s="173" t="str">
        <f t="shared" si="1"/>
        <v/>
      </c>
      <c r="F878" s="210"/>
      <c r="G878" s="210"/>
      <c r="H878" s="211"/>
    </row>
    <row r="879" ht="15.75" customHeight="1">
      <c r="B879" s="225"/>
      <c r="C879" s="187"/>
      <c r="D879" s="232"/>
      <c r="E879" s="221" t="str">
        <f t="shared" si="1"/>
        <v/>
      </c>
      <c r="F879" s="214"/>
      <c r="G879" s="214"/>
      <c r="H879" s="215"/>
    </row>
    <row r="880" ht="15.75" customHeight="1">
      <c r="B880" s="190"/>
      <c r="C880" s="183"/>
      <c r="D880" s="233"/>
      <c r="E880" s="173" t="str">
        <f t="shared" si="1"/>
        <v/>
      </c>
      <c r="F880" s="210"/>
      <c r="G880" s="210"/>
      <c r="H880" s="211"/>
    </row>
    <row r="881" ht="15.75" customHeight="1">
      <c r="B881" s="225"/>
      <c r="C881" s="187"/>
      <c r="D881" s="232"/>
      <c r="E881" s="221" t="str">
        <f t="shared" si="1"/>
        <v/>
      </c>
      <c r="F881" s="214"/>
      <c r="G881" s="214"/>
      <c r="H881" s="215"/>
    </row>
    <row r="882" ht="15.75" customHeight="1">
      <c r="B882" s="190"/>
      <c r="C882" s="183"/>
      <c r="D882" s="233"/>
      <c r="E882" s="173" t="str">
        <f t="shared" si="1"/>
        <v/>
      </c>
      <c r="F882" s="210"/>
      <c r="G882" s="210"/>
      <c r="H882" s="211"/>
    </row>
    <row r="883" ht="15.75" customHeight="1">
      <c r="B883" s="225"/>
      <c r="C883" s="187"/>
      <c r="D883" s="232"/>
      <c r="E883" s="221" t="str">
        <f t="shared" si="1"/>
        <v/>
      </c>
      <c r="F883" s="214"/>
      <c r="G883" s="214"/>
      <c r="H883" s="215"/>
    </row>
    <row r="884" ht="15.75" customHeight="1">
      <c r="B884" s="190"/>
      <c r="C884" s="183"/>
      <c r="D884" s="233"/>
      <c r="E884" s="173" t="str">
        <f t="shared" si="1"/>
        <v/>
      </c>
      <c r="F884" s="210"/>
      <c r="G884" s="210"/>
      <c r="H884" s="211"/>
    </row>
    <row r="885" ht="15.75" customHeight="1">
      <c r="B885" s="225"/>
      <c r="C885" s="187"/>
      <c r="D885" s="232"/>
      <c r="E885" s="221" t="str">
        <f t="shared" si="1"/>
        <v/>
      </c>
      <c r="F885" s="214"/>
      <c r="G885" s="214"/>
      <c r="H885" s="215"/>
    </row>
    <row r="886" ht="15.75" customHeight="1">
      <c r="B886" s="190"/>
      <c r="C886" s="183"/>
      <c r="D886" s="233"/>
      <c r="E886" s="173" t="str">
        <f t="shared" si="1"/>
        <v/>
      </c>
      <c r="F886" s="210"/>
      <c r="G886" s="210"/>
      <c r="H886" s="211"/>
    </row>
    <row r="887" ht="15.75" customHeight="1">
      <c r="B887" s="225"/>
      <c r="C887" s="187"/>
      <c r="D887" s="232"/>
      <c r="E887" s="221" t="str">
        <f t="shared" si="1"/>
        <v/>
      </c>
      <c r="F887" s="214"/>
      <c r="G887" s="214"/>
      <c r="H887" s="215"/>
    </row>
    <row r="888" ht="15.75" customHeight="1">
      <c r="B888" s="190"/>
      <c r="C888" s="183"/>
      <c r="D888" s="233"/>
      <c r="E888" s="173" t="str">
        <f t="shared" si="1"/>
        <v/>
      </c>
      <c r="F888" s="210"/>
      <c r="G888" s="210"/>
      <c r="H888" s="211"/>
    </row>
    <row r="889" ht="15.75" customHeight="1">
      <c r="B889" s="225"/>
      <c r="C889" s="187"/>
      <c r="D889" s="232"/>
      <c r="E889" s="221" t="str">
        <f t="shared" si="1"/>
        <v/>
      </c>
      <c r="F889" s="214"/>
      <c r="G889" s="214"/>
      <c r="H889" s="215"/>
    </row>
    <row r="890" ht="15.75" customHeight="1">
      <c r="B890" s="190"/>
      <c r="C890" s="183"/>
      <c r="D890" s="233"/>
      <c r="E890" s="173" t="str">
        <f t="shared" si="1"/>
        <v/>
      </c>
      <c r="F890" s="210"/>
      <c r="G890" s="210"/>
      <c r="H890" s="211"/>
    </row>
    <row r="891" ht="15.75" customHeight="1">
      <c r="B891" s="225"/>
      <c r="C891" s="187"/>
      <c r="D891" s="232"/>
      <c r="E891" s="221" t="str">
        <f t="shared" si="1"/>
        <v/>
      </c>
      <c r="F891" s="214"/>
      <c r="G891" s="214"/>
      <c r="H891" s="215"/>
    </row>
    <row r="892" ht="15.75" customHeight="1">
      <c r="B892" s="190"/>
      <c r="C892" s="183"/>
      <c r="D892" s="233"/>
      <c r="E892" s="173" t="str">
        <f t="shared" si="1"/>
        <v/>
      </c>
      <c r="F892" s="210"/>
      <c r="G892" s="210"/>
      <c r="H892" s="211"/>
    </row>
    <row r="893" ht="15.75" customHeight="1">
      <c r="B893" s="225"/>
      <c r="C893" s="187"/>
      <c r="D893" s="232"/>
      <c r="E893" s="221" t="str">
        <f t="shared" si="1"/>
        <v/>
      </c>
      <c r="F893" s="214"/>
      <c r="G893" s="214"/>
      <c r="H893" s="215"/>
    </row>
    <row r="894" ht="15.75" customHeight="1">
      <c r="B894" s="190"/>
      <c r="C894" s="183"/>
      <c r="D894" s="233"/>
      <c r="E894" s="173" t="str">
        <f t="shared" si="1"/>
        <v/>
      </c>
      <c r="F894" s="210"/>
      <c r="G894" s="210"/>
      <c r="H894" s="211"/>
    </row>
    <row r="895" ht="15.75" customHeight="1">
      <c r="B895" s="225"/>
      <c r="C895" s="187"/>
      <c r="D895" s="232"/>
      <c r="E895" s="221" t="str">
        <f t="shared" si="1"/>
        <v/>
      </c>
      <c r="F895" s="214"/>
      <c r="G895" s="214"/>
      <c r="H895" s="215"/>
    </row>
    <row r="896" ht="15.75" customHeight="1">
      <c r="B896" s="190"/>
      <c r="C896" s="183"/>
      <c r="D896" s="233"/>
      <c r="E896" s="173" t="str">
        <f t="shared" si="1"/>
        <v/>
      </c>
      <c r="F896" s="210"/>
      <c r="G896" s="210"/>
      <c r="H896" s="211"/>
    </row>
    <row r="897" ht="15.75" customHeight="1">
      <c r="B897" s="225"/>
      <c r="C897" s="187"/>
      <c r="D897" s="232"/>
      <c r="E897" s="221" t="str">
        <f t="shared" si="1"/>
        <v/>
      </c>
      <c r="F897" s="214"/>
      <c r="G897" s="214"/>
      <c r="H897" s="215"/>
    </row>
    <row r="898" ht="15.75" customHeight="1">
      <c r="B898" s="190"/>
      <c r="C898" s="183"/>
      <c r="D898" s="233"/>
      <c r="E898" s="173" t="str">
        <f t="shared" si="1"/>
        <v/>
      </c>
      <c r="F898" s="210"/>
      <c r="G898" s="210"/>
      <c r="H898" s="211"/>
    </row>
    <row r="899" ht="15.75" customHeight="1">
      <c r="B899" s="225"/>
      <c r="C899" s="187"/>
      <c r="D899" s="232"/>
      <c r="E899" s="221" t="str">
        <f t="shared" si="1"/>
        <v/>
      </c>
      <c r="F899" s="214"/>
      <c r="G899" s="214"/>
      <c r="H899" s="215"/>
    </row>
    <row r="900" ht="15.75" customHeight="1">
      <c r="B900" s="190"/>
      <c r="C900" s="183"/>
      <c r="D900" s="233"/>
      <c r="E900" s="173" t="str">
        <f t="shared" si="1"/>
        <v/>
      </c>
      <c r="F900" s="210"/>
      <c r="G900" s="210"/>
      <c r="H900" s="211"/>
    </row>
    <row r="901" ht="15.75" customHeight="1">
      <c r="B901" s="225"/>
      <c r="C901" s="187"/>
      <c r="D901" s="232"/>
      <c r="E901" s="221" t="str">
        <f t="shared" si="1"/>
        <v/>
      </c>
      <c r="F901" s="214"/>
      <c r="G901" s="214"/>
      <c r="H901" s="215"/>
    </row>
    <row r="902" ht="15.75" customHeight="1">
      <c r="B902" s="190"/>
      <c r="C902" s="183"/>
      <c r="D902" s="233"/>
      <c r="E902" s="173" t="str">
        <f t="shared" si="1"/>
        <v/>
      </c>
      <c r="F902" s="210"/>
      <c r="G902" s="210"/>
      <c r="H902" s="211"/>
    </row>
    <row r="903" ht="15.75" customHeight="1">
      <c r="B903" s="225"/>
      <c r="C903" s="187"/>
      <c r="D903" s="232"/>
      <c r="E903" s="221" t="str">
        <f t="shared" si="1"/>
        <v/>
      </c>
      <c r="F903" s="214"/>
      <c r="G903" s="214"/>
      <c r="H903" s="215"/>
    </row>
    <row r="904" ht="15.75" customHeight="1">
      <c r="B904" s="190"/>
      <c r="C904" s="183"/>
      <c r="D904" s="233"/>
      <c r="E904" s="173" t="str">
        <f t="shared" si="1"/>
        <v/>
      </c>
      <c r="F904" s="210"/>
      <c r="G904" s="210"/>
      <c r="H904" s="211"/>
    </row>
    <row r="905" ht="15.75" customHeight="1">
      <c r="B905" s="225"/>
      <c r="C905" s="187"/>
      <c r="D905" s="232"/>
      <c r="E905" s="221" t="str">
        <f t="shared" si="1"/>
        <v/>
      </c>
      <c r="F905" s="214"/>
      <c r="G905" s="214"/>
      <c r="H905" s="215"/>
    </row>
    <row r="906" ht="15.75" customHeight="1">
      <c r="B906" s="190"/>
      <c r="C906" s="183"/>
      <c r="D906" s="233"/>
      <c r="E906" s="173" t="str">
        <f t="shared" si="1"/>
        <v/>
      </c>
      <c r="F906" s="210"/>
      <c r="G906" s="210"/>
      <c r="H906" s="211"/>
    </row>
    <row r="907" ht="15.75" customHeight="1">
      <c r="B907" s="225"/>
      <c r="C907" s="187"/>
      <c r="D907" s="232"/>
      <c r="E907" s="221" t="str">
        <f t="shared" si="1"/>
        <v/>
      </c>
      <c r="F907" s="214"/>
      <c r="G907" s="214"/>
      <c r="H907" s="215"/>
    </row>
    <row r="908" ht="15.75" customHeight="1">
      <c r="B908" s="190"/>
      <c r="C908" s="183"/>
      <c r="D908" s="233"/>
      <c r="E908" s="173" t="str">
        <f t="shared" si="1"/>
        <v/>
      </c>
      <c r="F908" s="210"/>
      <c r="G908" s="210"/>
      <c r="H908" s="211"/>
    </row>
    <row r="909" ht="15.75" customHeight="1">
      <c r="B909" s="225"/>
      <c r="C909" s="187"/>
      <c r="D909" s="232"/>
      <c r="E909" s="221" t="str">
        <f t="shared" si="1"/>
        <v/>
      </c>
      <c r="F909" s="214"/>
      <c r="G909" s="214"/>
      <c r="H909" s="215"/>
    </row>
    <row r="910" ht="15.75" customHeight="1">
      <c r="B910" s="190"/>
      <c r="C910" s="183"/>
      <c r="D910" s="233"/>
      <c r="E910" s="173" t="str">
        <f t="shared" si="1"/>
        <v/>
      </c>
      <c r="F910" s="210"/>
      <c r="G910" s="210"/>
      <c r="H910" s="211"/>
    </row>
    <row r="911" ht="15.75" customHeight="1">
      <c r="B911" s="225"/>
      <c r="C911" s="187"/>
      <c r="D911" s="232"/>
      <c r="E911" s="221" t="str">
        <f t="shared" si="1"/>
        <v/>
      </c>
      <c r="F911" s="214"/>
      <c r="G911" s="214"/>
      <c r="H911" s="215"/>
    </row>
    <row r="912" ht="15.75" customHeight="1">
      <c r="B912" s="190"/>
      <c r="C912" s="183"/>
      <c r="D912" s="233"/>
      <c r="E912" s="173" t="str">
        <f t="shared" si="1"/>
        <v/>
      </c>
      <c r="F912" s="210"/>
      <c r="G912" s="210"/>
      <c r="H912" s="211"/>
    </row>
    <row r="913" ht="15.75" customHeight="1">
      <c r="B913" s="225"/>
      <c r="C913" s="187"/>
      <c r="D913" s="232"/>
      <c r="E913" s="221" t="str">
        <f t="shared" si="1"/>
        <v/>
      </c>
      <c r="F913" s="214"/>
      <c r="G913" s="214"/>
      <c r="H913" s="215"/>
    </row>
    <row r="914" ht="15.75" customHeight="1">
      <c r="B914" s="190"/>
      <c r="C914" s="183"/>
      <c r="D914" s="233"/>
      <c r="E914" s="173" t="str">
        <f t="shared" si="1"/>
        <v/>
      </c>
      <c r="F914" s="210"/>
      <c r="G914" s="210"/>
      <c r="H914" s="211"/>
    </row>
    <row r="915" ht="15.75" customHeight="1">
      <c r="B915" s="225"/>
      <c r="C915" s="187"/>
      <c r="D915" s="232"/>
      <c r="E915" s="221" t="str">
        <f t="shared" si="1"/>
        <v/>
      </c>
      <c r="F915" s="214"/>
      <c r="G915" s="214"/>
      <c r="H915" s="215"/>
    </row>
    <row r="916" ht="15.75" customHeight="1">
      <c r="B916" s="190"/>
      <c r="C916" s="183"/>
      <c r="D916" s="233"/>
      <c r="E916" s="173" t="str">
        <f t="shared" si="1"/>
        <v/>
      </c>
      <c r="F916" s="210"/>
      <c r="G916" s="210"/>
      <c r="H916" s="211"/>
    </row>
    <row r="917" ht="15.75" customHeight="1">
      <c r="B917" s="225"/>
      <c r="C917" s="187"/>
      <c r="D917" s="232"/>
      <c r="E917" s="221" t="str">
        <f t="shared" si="1"/>
        <v/>
      </c>
      <c r="F917" s="214"/>
      <c r="G917" s="214"/>
      <c r="H917" s="215"/>
    </row>
    <row r="918" ht="15.75" customHeight="1">
      <c r="B918" s="190"/>
      <c r="C918" s="183"/>
      <c r="D918" s="233"/>
      <c r="E918" s="173" t="str">
        <f t="shared" si="1"/>
        <v/>
      </c>
      <c r="F918" s="210"/>
      <c r="G918" s="210"/>
      <c r="H918" s="211"/>
    </row>
    <row r="919" ht="15.75" customHeight="1">
      <c r="B919" s="225"/>
      <c r="C919" s="187"/>
      <c r="D919" s="232"/>
      <c r="E919" s="221" t="str">
        <f t="shared" si="1"/>
        <v/>
      </c>
      <c r="F919" s="214"/>
      <c r="G919" s="214"/>
      <c r="H919" s="215"/>
    </row>
    <row r="920" ht="15.75" customHeight="1">
      <c r="B920" s="190"/>
      <c r="C920" s="183"/>
      <c r="D920" s="233"/>
      <c r="E920" s="173" t="str">
        <f t="shared" si="1"/>
        <v/>
      </c>
      <c r="F920" s="210"/>
      <c r="G920" s="210"/>
      <c r="H920" s="211"/>
    </row>
    <row r="921" ht="15.75" customHeight="1">
      <c r="B921" s="225"/>
      <c r="C921" s="187"/>
      <c r="D921" s="232"/>
      <c r="E921" s="221" t="str">
        <f t="shared" si="1"/>
        <v/>
      </c>
      <c r="F921" s="214"/>
      <c r="G921" s="214"/>
      <c r="H921" s="215"/>
    </row>
    <row r="922" ht="15.75" customHeight="1">
      <c r="B922" s="190"/>
      <c r="C922" s="183"/>
      <c r="D922" s="233"/>
      <c r="E922" s="173" t="str">
        <f t="shared" si="1"/>
        <v/>
      </c>
      <c r="F922" s="210"/>
      <c r="G922" s="210"/>
      <c r="H922" s="211"/>
    </row>
    <row r="923" ht="15.75" customHeight="1">
      <c r="B923" s="225"/>
      <c r="C923" s="187"/>
      <c r="D923" s="232"/>
      <c r="E923" s="221" t="str">
        <f t="shared" si="1"/>
        <v/>
      </c>
      <c r="F923" s="214"/>
      <c r="G923" s="214"/>
      <c r="H923" s="215"/>
    </row>
    <row r="924" ht="15.75" customHeight="1">
      <c r="B924" s="190"/>
      <c r="C924" s="183"/>
      <c r="D924" s="233"/>
      <c r="E924" s="173" t="str">
        <f t="shared" si="1"/>
        <v/>
      </c>
      <c r="F924" s="210"/>
      <c r="G924" s="210"/>
      <c r="H924" s="211"/>
    </row>
    <row r="925" ht="15.75" customHeight="1">
      <c r="B925" s="225"/>
      <c r="C925" s="187"/>
      <c r="D925" s="232"/>
      <c r="E925" s="221" t="str">
        <f t="shared" si="1"/>
        <v/>
      </c>
      <c r="F925" s="214"/>
      <c r="G925" s="214"/>
      <c r="H925" s="215"/>
    </row>
    <row r="926" ht="15.75" customHeight="1">
      <c r="B926" s="190"/>
      <c r="C926" s="183"/>
      <c r="D926" s="233"/>
      <c r="E926" s="173" t="str">
        <f t="shared" si="1"/>
        <v/>
      </c>
      <c r="F926" s="210"/>
      <c r="G926" s="210"/>
      <c r="H926" s="211"/>
    </row>
    <row r="927" ht="15.75" customHeight="1">
      <c r="B927" s="225"/>
      <c r="C927" s="187"/>
      <c r="D927" s="232"/>
      <c r="E927" s="221" t="str">
        <f t="shared" si="1"/>
        <v/>
      </c>
      <c r="F927" s="214"/>
      <c r="G927" s="214"/>
      <c r="H927" s="215"/>
    </row>
    <row r="928" ht="15.75" customHeight="1">
      <c r="B928" s="190"/>
      <c r="C928" s="183"/>
      <c r="D928" s="233"/>
      <c r="E928" s="173" t="str">
        <f t="shared" si="1"/>
        <v/>
      </c>
      <c r="F928" s="210"/>
      <c r="G928" s="210"/>
      <c r="H928" s="211"/>
    </row>
    <row r="929" ht="15.75" customHeight="1">
      <c r="B929" s="225"/>
      <c r="C929" s="187"/>
      <c r="D929" s="232"/>
      <c r="E929" s="221" t="str">
        <f t="shared" si="1"/>
        <v/>
      </c>
      <c r="F929" s="214"/>
      <c r="G929" s="214"/>
      <c r="H929" s="215"/>
    </row>
    <row r="930" ht="15.75" customHeight="1">
      <c r="B930" s="190"/>
      <c r="C930" s="183"/>
      <c r="D930" s="233"/>
      <c r="E930" s="173" t="str">
        <f t="shared" si="1"/>
        <v/>
      </c>
      <c r="F930" s="210"/>
      <c r="G930" s="210"/>
      <c r="H930" s="211"/>
    </row>
    <row r="931" ht="15.75" customHeight="1">
      <c r="B931" s="225"/>
      <c r="C931" s="187"/>
      <c r="D931" s="232"/>
      <c r="E931" s="221" t="str">
        <f t="shared" si="1"/>
        <v/>
      </c>
      <c r="F931" s="214"/>
      <c r="G931" s="214"/>
      <c r="H931" s="215"/>
    </row>
    <row r="932" ht="15.75" customHeight="1">
      <c r="B932" s="190"/>
      <c r="C932" s="183"/>
      <c r="D932" s="233"/>
      <c r="E932" s="173" t="str">
        <f t="shared" si="1"/>
        <v/>
      </c>
      <c r="F932" s="210"/>
      <c r="G932" s="210"/>
      <c r="H932" s="211"/>
    </row>
    <row r="933" ht="15.75" customHeight="1">
      <c r="B933" s="225"/>
      <c r="C933" s="187"/>
      <c r="D933" s="232"/>
      <c r="E933" s="221" t="str">
        <f t="shared" si="1"/>
        <v/>
      </c>
      <c r="F933" s="214"/>
      <c r="G933" s="214"/>
      <c r="H933" s="215"/>
    </row>
    <row r="934" ht="15.75" customHeight="1">
      <c r="B934" s="190"/>
      <c r="C934" s="183"/>
      <c r="D934" s="233"/>
      <c r="E934" s="173" t="str">
        <f t="shared" si="1"/>
        <v/>
      </c>
      <c r="F934" s="210"/>
      <c r="G934" s="210"/>
      <c r="H934" s="211"/>
    </row>
    <row r="935" ht="15.75" customHeight="1">
      <c r="B935" s="225"/>
      <c r="C935" s="187"/>
      <c r="D935" s="232"/>
      <c r="E935" s="221" t="str">
        <f t="shared" si="1"/>
        <v/>
      </c>
      <c r="F935" s="214"/>
      <c r="G935" s="214"/>
      <c r="H935" s="215"/>
    </row>
    <row r="936" ht="15.75" customHeight="1">
      <c r="B936" s="190"/>
      <c r="C936" s="183"/>
      <c r="D936" s="233"/>
      <c r="E936" s="173" t="str">
        <f t="shared" si="1"/>
        <v/>
      </c>
      <c r="F936" s="210"/>
      <c r="G936" s="210"/>
      <c r="H936" s="211"/>
    </row>
    <row r="937" ht="15.75" customHeight="1">
      <c r="B937" s="225"/>
      <c r="C937" s="187"/>
      <c r="D937" s="232"/>
      <c r="E937" s="221" t="str">
        <f t="shared" si="1"/>
        <v/>
      </c>
      <c r="F937" s="214"/>
      <c r="G937" s="214"/>
      <c r="H937" s="215"/>
    </row>
    <row r="938" ht="15.75" customHeight="1">
      <c r="B938" s="190"/>
      <c r="C938" s="183"/>
      <c r="D938" s="233"/>
      <c r="E938" s="173" t="str">
        <f t="shared" si="1"/>
        <v/>
      </c>
      <c r="F938" s="210"/>
      <c r="G938" s="210"/>
      <c r="H938" s="211"/>
    </row>
    <row r="939" ht="15.75" customHeight="1">
      <c r="B939" s="225"/>
      <c r="C939" s="187"/>
      <c r="D939" s="232"/>
      <c r="E939" s="221" t="str">
        <f t="shared" si="1"/>
        <v/>
      </c>
      <c r="F939" s="214"/>
      <c r="G939" s="214"/>
      <c r="H939" s="215"/>
    </row>
    <row r="940" ht="15.75" customHeight="1">
      <c r="B940" s="190"/>
      <c r="C940" s="183"/>
      <c r="D940" s="233"/>
      <c r="E940" s="173" t="str">
        <f t="shared" si="1"/>
        <v/>
      </c>
      <c r="F940" s="210"/>
      <c r="G940" s="210"/>
      <c r="H940" s="211"/>
    </row>
    <row r="941" ht="15.75" customHeight="1">
      <c r="B941" s="225"/>
      <c r="C941" s="187"/>
      <c r="D941" s="232"/>
      <c r="E941" s="221" t="str">
        <f t="shared" si="1"/>
        <v/>
      </c>
      <c r="F941" s="214"/>
      <c r="G941" s="214"/>
      <c r="H941" s="215"/>
    </row>
    <row r="942" ht="15.75" customHeight="1">
      <c r="B942" s="190"/>
      <c r="C942" s="183"/>
      <c r="D942" s="233"/>
      <c r="E942" s="173" t="str">
        <f t="shared" si="1"/>
        <v/>
      </c>
      <c r="F942" s="210"/>
      <c r="G942" s="210"/>
      <c r="H942" s="211"/>
    </row>
    <row r="943" ht="15.75" customHeight="1">
      <c r="B943" s="225"/>
      <c r="C943" s="187"/>
      <c r="D943" s="232"/>
      <c r="E943" s="221" t="str">
        <f t="shared" si="1"/>
        <v/>
      </c>
      <c r="F943" s="214"/>
      <c r="G943" s="214"/>
      <c r="H943" s="215"/>
    </row>
    <row r="944" ht="15.75" customHeight="1">
      <c r="B944" s="190"/>
      <c r="C944" s="183"/>
      <c r="D944" s="233"/>
      <c r="E944" s="173" t="str">
        <f t="shared" si="1"/>
        <v/>
      </c>
      <c r="F944" s="210"/>
      <c r="G944" s="210"/>
      <c r="H944" s="211"/>
    </row>
    <row r="945" ht="15.75" customHeight="1">
      <c r="B945" s="225"/>
      <c r="C945" s="187"/>
      <c r="D945" s="232"/>
      <c r="E945" s="221" t="str">
        <f t="shared" si="1"/>
        <v/>
      </c>
      <c r="F945" s="214"/>
      <c r="G945" s="214"/>
      <c r="H945" s="215"/>
    </row>
    <row r="946" ht="15.75" customHeight="1">
      <c r="B946" s="190"/>
      <c r="C946" s="183"/>
      <c r="D946" s="233"/>
      <c r="E946" s="173" t="str">
        <f t="shared" si="1"/>
        <v/>
      </c>
      <c r="F946" s="210"/>
      <c r="G946" s="210"/>
      <c r="H946" s="211"/>
    </row>
    <row r="947" ht="15.75" customHeight="1">
      <c r="B947" s="225"/>
      <c r="C947" s="187"/>
      <c r="D947" s="232"/>
      <c r="E947" s="221" t="str">
        <f t="shared" si="1"/>
        <v/>
      </c>
      <c r="F947" s="214"/>
      <c r="G947" s="214"/>
      <c r="H947" s="215"/>
    </row>
    <row r="948" ht="15.75" customHeight="1">
      <c r="B948" s="190"/>
      <c r="C948" s="183"/>
      <c r="D948" s="233"/>
      <c r="E948" s="173" t="str">
        <f t="shared" si="1"/>
        <v/>
      </c>
      <c r="F948" s="210"/>
      <c r="G948" s="210"/>
      <c r="H948" s="211"/>
    </row>
    <row r="949" ht="15.75" customHeight="1">
      <c r="B949" s="225"/>
      <c r="C949" s="187"/>
      <c r="D949" s="232"/>
      <c r="E949" s="221" t="str">
        <f t="shared" si="1"/>
        <v/>
      </c>
      <c r="F949" s="214"/>
      <c r="G949" s="214"/>
      <c r="H949" s="215"/>
    </row>
    <row r="950" ht="15.75" customHeight="1">
      <c r="B950" s="190"/>
      <c r="C950" s="183"/>
      <c r="D950" s="233"/>
      <c r="E950" s="173" t="str">
        <f t="shared" si="1"/>
        <v/>
      </c>
      <c r="F950" s="210"/>
      <c r="G950" s="210"/>
      <c r="H950" s="211"/>
    </row>
    <row r="951" ht="15.75" customHeight="1">
      <c r="B951" s="225"/>
      <c r="C951" s="187"/>
      <c r="D951" s="232"/>
      <c r="E951" s="221" t="str">
        <f t="shared" si="1"/>
        <v/>
      </c>
      <c r="F951" s="214"/>
      <c r="G951" s="214"/>
      <c r="H951" s="215"/>
    </row>
    <row r="952" ht="15.75" customHeight="1">
      <c r="B952" s="190"/>
      <c r="C952" s="183"/>
      <c r="D952" s="233"/>
      <c r="E952" s="173" t="str">
        <f t="shared" si="1"/>
        <v/>
      </c>
      <c r="F952" s="210"/>
      <c r="G952" s="210"/>
      <c r="H952" s="211"/>
    </row>
    <row r="953" ht="15.75" customHeight="1">
      <c r="B953" s="225"/>
      <c r="C953" s="187"/>
      <c r="D953" s="232"/>
      <c r="E953" s="221" t="str">
        <f t="shared" si="1"/>
        <v/>
      </c>
      <c r="F953" s="214"/>
      <c r="G953" s="214"/>
      <c r="H953" s="215"/>
    </row>
    <row r="954" ht="15.75" customHeight="1">
      <c r="B954" s="190"/>
      <c r="C954" s="183"/>
      <c r="D954" s="233"/>
      <c r="E954" s="173" t="str">
        <f t="shared" si="1"/>
        <v/>
      </c>
      <c r="F954" s="210"/>
      <c r="G954" s="210"/>
      <c r="H954" s="211"/>
    </row>
    <row r="955" ht="15.75" customHeight="1">
      <c r="B955" s="225"/>
      <c r="C955" s="187"/>
      <c r="D955" s="232"/>
      <c r="E955" s="221" t="str">
        <f t="shared" si="1"/>
        <v/>
      </c>
      <c r="F955" s="214"/>
      <c r="G955" s="214"/>
      <c r="H955" s="215"/>
    </row>
    <row r="956" ht="15.75" customHeight="1">
      <c r="B956" s="190"/>
      <c r="C956" s="183"/>
      <c r="D956" s="233"/>
      <c r="E956" s="173" t="str">
        <f t="shared" si="1"/>
        <v/>
      </c>
      <c r="F956" s="210"/>
      <c r="G956" s="210"/>
      <c r="H956" s="211"/>
    </row>
    <row r="957" ht="15.75" customHeight="1">
      <c r="B957" s="225"/>
      <c r="C957" s="187"/>
      <c r="D957" s="232"/>
      <c r="E957" s="221" t="str">
        <f t="shared" si="1"/>
        <v/>
      </c>
      <c r="F957" s="214"/>
      <c r="G957" s="214"/>
      <c r="H957" s="215"/>
    </row>
    <row r="958" ht="15.75" customHeight="1">
      <c r="B958" s="190"/>
      <c r="C958" s="183"/>
      <c r="D958" s="233"/>
      <c r="E958" s="173" t="str">
        <f t="shared" si="1"/>
        <v/>
      </c>
      <c r="F958" s="210"/>
      <c r="G958" s="210"/>
      <c r="H958" s="211"/>
    </row>
    <row r="959" ht="15.75" customHeight="1">
      <c r="B959" s="225"/>
      <c r="C959" s="187"/>
      <c r="D959" s="232"/>
      <c r="E959" s="221" t="str">
        <f t="shared" si="1"/>
        <v/>
      </c>
      <c r="F959" s="214"/>
      <c r="G959" s="214"/>
      <c r="H959" s="215"/>
    </row>
    <row r="960" ht="15.75" customHeight="1">
      <c r="B960" s="190"/>
      <c r="C960" s="183"/>
      <c r="D960" s="233"/>
      <c r="E960" s="173" t="str">
        <f t="shared" si="1"/>
        <v/>
      </c>
      <c r="F960" s="210"/>
      <c r="G960" s="210"/>
      <c r="H960" s="211"/>
    </row>
    <row r="961" ht="15.75" customHeight="1">
      <c r="B961" s="225"/>
      <c r="C961" s="187"/>
      <c r="D961" s="232"/>
      <c r="E961" s="221" t="str">
        <f t="shared" si="1"/>
        <v/>
      </c>
      <c r="F961" s="214"/>
      <c r="G961" s="214"/>
      <c r="H961" s="215"/>
    </row>
    <row r="962" ht="15.75" customHeight="1">
      <c r="B962" s="190"/>
      <c r="C962" s="183"/>
      <c r="D962" s="233"/>
      <c r="E962" s="173" t="str">
        <f t="shared" si="1"/>
        <v/>
      </c>
      <c r="F962" s="210"/>
      <c r="G962" s="210"/>
      <c r="H962" s="211"/>
    </row>
    <row r="963" ht="15.75" customHeight="1">
      <c r="B963" s="225"/>
      <c r="C963" s="187"/>
      <c r="D963" s="232"/>
      <c r="E963" s="221" t="str">
        <f t="shared" si="1"/>
        <v/>
      </c>
      <c r="F963" s="214"/>
      <c r="G963" s="214"/>
      <c r="H963" s="215"/>
    </row>
    <row r="964" ht="15.75" customHeight="1">
      <c r="B964" s="190"/>
      <c r="C964" s="183"/>
      <c r="D964" s="233"/>
      <c r="E964" s="173" t="str">
        <f t="shared" si="1"/>
        <v/>
      </c>
      <c r="F964" s="210"/>
      <c r="G964" s="210"/>
      <c r="H964" s="211"/>
    </row>
    <row r="965" ht="15.75" customHeight="1">
      <c r="B965" s="225"/>
      <c r="C965" s="187"/>
      <c r="D965" s="232"/>
      <c r="E965" s="221" t="str">
        <f t="shared" si="1"/>
        <v/>
      </c>
      <c r="F965" s="214"/>
      <c r="G965" s="214"/>
      <c r="H965" s="215"/>
    </row>
    <row r="966" ht="15.75" customHeight="1">
      <c r="B966" s="190"/>
      <c r="C966" s="183"/>
      <c r="D966" s="233"/>
      <c r="E966" s="173" t="str">
        <f t="shared" si="1"/>
        <v/>
      </c>
      <c r="F966" s="210"/>
      <c r="G966" s="210"/>
      <c r="H966" s="211"/>
    </row>
    <row r="967" ht="15.75" customHeight="1">
      <c r="B967" s="225"/>
      <c r="C967" s="187"/>
      <c r="D967" s="232"/>
      <c r="E967" s="221" t="str">
        <f t="shared" si="1"/>
        <v/>
      </c>
      <c r="F967" s="214"/>
      <c r="G967" s="214"/>
      <c r="H967" s="215"/>
    </row>
    <row r="968" ht="15.75" customHeight="1">
      <c r="B968" s="190"/>
      <c r="C968" s="183"/>
      <c r="D968" s="233"/>
      <c r="E968" s="173" t="str">
        <f t="shared" si="1"/>
        <v/>
      </c>
      <c r="F968" s="210"/>
      <c r="G968" s="210"/>
      <c r="H968" s="211"/>
    </row>
    <row r="969" ht="15.75" customHeight="1">
      <c r="B969" s="225"/>
      <c r="C969" s="187"/>
      <c r="D969" s="232"/>
      <c r="E969" s="221" t="str">
        <f t="shared" si="1"/>
        <v/>
      </c>
      <c r="F969" s="214"/>
      <c r="G969" s="214"/>
      <c r="H969" s="215"/>
    </row>
    <row r="970" ht="15.75" customHeight="1">
      <c r="B970" s="190"/>
      <c r="C970" s="183"/>
      <c r="D970" s="233"/>
      <c r="E970" s="173" t="str">
        <f t="shared" si="1"/>
        <v/>
      </c>
      <c r="F970" s="210"/>
      <c r="G970" s="210"/>
      <c r="H970" s="211"/>
    </row>
    <row r="971" ht="15.75" customHeight="1">
      <c r="B971" s="225"/>
      <c r="C971" s="187"/>
      <c r="D971" s="232"/>
      <c r="E971" s="221" t="str">
        <f t="shared" si="1"/>
        <v/>
      </c>
      <c r="F971" s="214"/>
      <c r="G971" s="214"/>
      <c r="H971" s="215"/>
    </row>
    <row r="972" ht="15.75" customHeight="1">
      <c r="B972" s="190"/>
      <c r="C972" s="183"/>
      <c r="D972" s="233"/>
      <c r="E972" s="173" t="str">
        <f t="shared" si="1"/>
        <v/>
      </c>
      <c r="F972" s="210"/>
      <c r="G972" s="210"/>
      <c r="H972" s="211"/>
    </row>
    <row r="973" ht="15.75" customHeight="1">
      <c r="B973" s="225"/>
      <c r="C973" s="187"/>
      <c r="D973" s="232"/>
      <c r="E973" s="221" t="str">
        <f t="shared" si="1"/>
        <v/>
      </c>
      <c r="F973" s="214"/>
      <c r="G973" s="214"/>
      <c r="H973" s="215"/>
    </row>
    <row r="974" ht="15.75" customHeight="1">
      <c r="B974" s="190"/>
      <c r="C974" s="183"/>
      <c r="D974" s="233"/>
      <c r="E974" s="173" t="str">
        <f t="shared" si="1"/>
        <v/>
      </c>
      <c r="F974" s="210"/>
      <c r="G974" s="210"/>
      <c r="H974" s="211"/>
    </row>
    <row r="975" ht="15.75" customHeight="1">
      <c r="B975" s="225"/>
      <c r="C975" s="187"/>
      <c r="D975" s="232"/>
      <c r="E975" s="221" t="str">
        <f t="shared" si="1"/>
        <v/>
      </c>
      <c r="F975" s="214"/>
      <c r="G975" s="214"/>
      <c r="H975" s="215"/>
    </row>
    <row r="976" ht="15.75" customHeight="1">
      <c r="B976" s="190"/>
      <c r="C976" s="183"/>
      <c r="D976" s="233"/>
      <c r="E976" s="173" t="str">
        <f t="shared" si="1"/>
        <v/>
      </c>
      <c r="F976" s="210"/>
      <c r="G976" s="210"/>
      <c r="H976" s="211"/>
    </row>
    <row r="977" ht="15.75" customHeight="1">
      <c r="B977" s="225"/>
      <c r="C977" s="187"/>
      <c r="D977" s="232"/>
      <c r="E977" s="221" t="str">
        <f t="shared" si="1"/>
        <v/>
      </c>
      <c r="F977" s="214"/>
      <c r="G977" s="214"/>
      <c r="H977" s="215"/>
    </row>
    <row r="978" ht="15.75" customHeight="1">
      <c r="B978" s="190"/>
      <c r="C978" s="183"/>
      <c r="D978" s="233"/>
      <c r="E978" s="173" t="str">
        <f t="shared" si="1"/>
        <v/>
      </c>
      <c r="F978" s="210"/>
      <c r="G978" s="210"/>
      <c r="H978" s="211"/>
    </row>
    <row r="979" ht="15.75" customHeight="1">
      <c r="B979" s="225"/>
      <c r="C979" s="187"/>
      <c r="D979" s="232"/>
      <c r="E979" s="221" t="str">
        <f t="shared" si="1"/>
        <v/>
      </c>
      <c r="F979" s="214"/>
      <c r="G979" s="214"/>
      <c r="H979" s="215"/>
    </row>
    <row r="980" ht="15.75" customHeight="1">
      <c r="B980" s="190"/>
      <c r="C980" s="183"/>
      <c r="D980" s="233"/>
      <c r="E980" s="173" t="str">
        <f t="shared" si="1"/>
        <v/>
      </c>
      <c r="F980" s="210"/>
      <c r="G980" s="210"/>
      <c r="H980" s="211"/>
    </row>
    <row r="981" ht="15.75" customHeight="1">
      <c r="B981" s="225"/>
      <c r="C981" s="187"/>
      <c r="D981" s="232"/>
      <c r="E981" s="221" t="str">
        <f t="shared" si="1"/>
        <v/>
      </c>
      <c r="F981" s="214"/>
      <c r="G981" s="214"/>
      <c r="H981" s="215"/>
    </row>
    <row r="982" ht="15.75" customHeight="1">
      <c r="B982" s="190"/>
      <c r="C982" s="183"/>
      <c r="D982" s="233"/>
      <c r="E982" s="173" t="str">
        <f t="shared" si="1"/>
        <v/>
      </c>
      <c r="F982" s="210"/>
      <c r="G982" s="210"/>
      <c r="H982" s="211"/>
    </row>
    <row r="983" ht="15.75" customHeight="1">
      <c r="B983" s="225"/>
      <c r="C983" s="187"/>
      <c r="D983" s="232"/>
      <c r="E983" s="221" t="str">
        <f t="shared" si="1"/>
        <v/>
      </c>
      <c r="F983" s="214"/>
      <c r="G983" s="214"/>
      <c r="H983" s="215"/>
    </row>
    <row r="984" ht="15.75" customHeight="1">
      <c r="B984" s="190"/>
      <c r="C984" s="183"/>
      <c r="D984" s="233"/>
      <c r="E984" s="173" t="str">
        <f t="shared" si="1"/>
        <v/>
      </c>
      <c r="F984" s="210"/>
      <c r="G984" s="210"/>
      <c r="H984" s="211"/>
    </row>
    <row r="985" ht="15.75" customHeight="1">
      <c r="B985" s="225"/>
      <c r="C985" s="187"/>
      <c r="D985" s="232"/>
      <c r="E985" s="221" t="str">
        <f t="shared" si="1"/>
        <v/>
      </c>
      <c r="F985" s="214"/>
      <c r="G985" s="214"/>
      <c r="H985" s="215"/>
    </row>
    <row r="986" ht="15.75" customHeight="1">
      <c r="B986" s="190"/>
      <c r="C986" s="183"/>
      <c r="D986" s="233"/>
      <c r="E986" s="173" t="str">
        <f t="shared" si="1"/>
        <v/>
      </c>
      <c r="F986" s="210"/>
      <c r="G986" s="210"/>
      <c r="H986" s="211"/>
    </row>
    <row r="987" ht="15.75" customHeight="1">
      <c r="B987" s="225"/>
      <c r="C987" s="187"/>
      <c r="D987" s="232"/>
      <c r="E987" s="221" t="str">
        <f t="shared" si="1"/>
        <v/>
      </c>
      <c r="F987" s="214"/>
      <c r="G987" s="214"/>
      <c r="H987" s="215"/>
    </row>
    <row r="988" ht="15.75" customHeight="1">
      <c r="B988" s="190"/>
      <c r="C988" s="183"/>
      <c r="D988" s="233"/>
      <c r="E988" s="173" t="str">
        <f t="shared" si="1"/>
        <v/>
      </c>
      <c r="F988" s="210"/>
      <c r="G988" s="210"/>
      <c r="H988" s="211"/>
    </row>
    <row r="989" ht="15.75" customHeight="1">
      <c r="B989" s="225"/>
      <c r="C989" s="187"/>
      <c r="D989" s="232"/>
      <c r="E989" s="221" t="str">
        <f t="shared" si="1"/>
        <v/>
      </c>
      <c r="F989" s="214"/>
      <c r="G989" s="214"/>
      <c r="H989" s="215"/>
    </row>
    <row r="990" ht="15.75" customHeight="1">
      <c r="B990" s="190"/>
      <c r="C990" s="183"/>
      <c r="D990" s="233"/>
      <c r="E990" s="173" t="str">
        <f t="shared" si="1"/>
        <v/>
      </c>
      <c r="F990" s="210"/>
      <c r="G990" s="210"/>
      <c r="H990" s="211"/>
    </row>
    <row r="991" ht="15.75" customHeight="1">
      <c r="B991" s="225"/>
      <c r="C991" s="187"/>
      <c r="D991" s="232"/>
      <c r="E991" s="221" t="str">
        <f t="shared" si="1"/>
        <v/>
      </c>
      <c r="F991" s="214"/>
      <c r="G991" s="214"/>
      <c r="H991" s="215"/>
    </row>
    <row r="992" ht="15.75" customHeight="1">
      <c r="B992" s="190"/>
      <c r="C992" s="183"/>
      <c r="D992" s="233"/>
      <c r="E992" s="173" t="str">
        <f t="shared" si="1"/>
        <v/>
      </c>
      <c r="F992" s="210"/>
      <c r="G992" s="210"/>
      <c r="H992" s="211"/>
    </row>
    <row r="993" ht="15.75" customHeight="1">
      <c r="B993" s="225"/>
      <c r="C993" s="187"/>
      <c r="D993" s="232"/>
      <c r="E993" s="221" t="str">
        <f t="shared" si="1"/>
        <v/>
      </c>
      <c r="F993" s="214"/>
      <c r="G993" s="214"/>
      <c r="H993" s="215"/>
    </row>
    <row r="994" ht="15.75" customHeight="1">
      <c r="B994" s="190"/>
      <c r="C994" s="183"/>
      <c r="D994" s="233"/>
      <c r="E994" s="173" t="str">
        <f t="shared" si="1"/>
        <v/>
      </c>
      <c r="F994" s="210"/>
      <c r="G994" s="210"/>
      <c r="H994" s="211"/>
    </row>
    <row r="995" ht="15.75" customHeight="1">
      <c r="B995" s="225"/>
      <c r="C995" s="187"/>
      <c r="D995" s="232"/>
      <c r="E995" s="221" t="str">
        <f t="shared" si="1"/>
        <v/>
      </c>
      <c r="F995" s="214"/>
      <c r="G995" s="214"/>
      <c r="H995" s="215"/>
    </row>
    <row r="996" ht="15.75" customHeight="1">
      <c r="B996" s="190"/>
      <c r="C996" s="183"/>
      <c r="D996" s="233"/>
      <c r="E996" s="173" t="str">
        <f t="shared" si="1"/>
        <v/>
      </c>
      <c r="F996" s="210"/>
      <c r="G996" s="210"/>
      <c r="H996" s="211"/>
    </row>
    <row r="997" ht="15.75" customHeight="1">
      <c r="B997" s="225"/>
      <c r="C997" s="187"/>
      <c r="D997" s="232"/>
      <c r="E997" s="221" t="str">
        <f t="shared" si="1"/>
        <v/>
      </c>
      <c r="F997" s="214"/>
      <c r="G997" s="214"/>
      <c r="H997" s="215"/>
    </row>
    <row r="998" ht="15.75" customHeight="1">
      <c r="B998" s="190"/>
      <c r="C998" s="183"/>
      <c r="D998" s="233"/>
      <c r="E998" s="173" t="str">
        <f t="shared" si="1"/>
        <v/>
      </c>
      <c r="F998" s="210"/>
      <c r="G998" s="210"/>
      <c r="H998" s="211"/>
    </row>
    <row r="999" ht="15.75" customHeight="1">
      <c r="B999" s="234"/>
      <c r="C999" s="196"/>
      <c r="D999" s="235"/>
      <c r="E999" s="236" t="str">
        <f t="shared" si="1"/>
        <v/>
      </c>
      <c r="F999" s="237"/>
      <c r="G999" s="237"/>
      <c r="H999" s="238"/>
    </row>
    <row r="1000" ht="15.75" customHeight="1">
      <c r="B1000" s="61"/>
      <c r="C1000" s="61"/>
      <c r="D1000" s="61"/>
      <c r="E1000" s="61"/>
      <c r="F1000" s="61"/>
      <c r="G1000" s="61"/>
      <c r="H1000" s="61"/>
    </row>
  </sheetData>
  <mergeCells count="995">
    <mergeCell ref="C3:C4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79:H79"/>
    <mergeCell ref="E80:H80"/>
    <mergeCell ref="E81:H81"/>
    <mergeCell ref="E82:H82"/>
    <mergeCell ref="E83:H83"/>
    <mergeCell ref="E84:H84"/>
    <mergeCell ref="E85:H85"/>
    <mergeCell ref="E86:H86"/>
    <mergeCell ref="E87:H87"/>
    <mergeCell ref="E88:H88"/>
    <mergeCell ref="E89:H89"/>
    <mergeCell ref="E90:H90"/>
    <mergeCell ref="E91:H91"/>
    <mergeCell ref="E92:H92"/>
    <mergeCell ref="E93:H93"/>
    <mergeCell ref="E94:H94"/>
    <mergeCell ref="E95:H95"/>
    <mergeCell ref="E96:H96"/>
    <mergeCell ref="E97:H97"/>
    <mergeCell ref="E98:H98"/>
    <mergeCell ref="E99:H99"/>
    <mergeCell ref="E100:H100"/>
    <mergeCell ref="E101:H101"/>
    <mergeCell ref="E102:H102"/>
    <mergeCell ref="E103:H103"/>
    <mergeCell ref="E104:H104"/>
    <mergeCell ref="E105:H105"/>
    <mergeCell ref="E106:H106"/>
    <mergeCell ref="E107:H107"/>
    <mergeCell ref="E108:H108"/>
    <mergeCell ref="E109:H109"/>
    <mergeCell ref="E110:H110"/>
    <mergeCell ref="E111:H111"/>
    <mergeCell ref="E112:H112"/>
    <mergeCell ref="E113:H113"/>
    <mergeCell ref="E114:H114"/>
    <mergeCell ref="E115:H115"/>
    <mergeCell ref="E116:H116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E125:H125"/>
    <mergeCell ref="E126:H126"/>
    <mergeCell ref="E127:H127"/>
    <mergeCell ref="E128:H128"/>
    <mergeCell ref="E129:H129"/>
    <mergeCell ref="E130:H130"/>
    <mergeCell ref="E131:H131"/>
    <mergeCell ref="E132:H132"/>
    <mergeCell ref="E133:H133"/>
    <mergeCell ref="E134:H134"/>
    <mergeCell ref="E135:H135"/>
    <mergeCell ref="E136:H136"/>
    <mergeCell ref="E137:H137"/>
    <mergeCell ref="E138:H138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E147:H147"/>
    <mergeCell ref="E148:H148"/>
    <mergeCell ref="E149:H149"/>
    <mergeCell ref="E150:H150"/>
    <mergeCell ref="E151:H151"/>
    <mergeCell ref="E152:H152"/>
    <mergeCell ref="E153:H153"/>
    <mergeCell ref="E154:H154"/>
    <mergeCell ref="E155:H155"/>
    <mergeCell ref="E156:H156"/>
    <mergeCell ref="E157:H157"/>
    <mergeCell ref="E158:H158"/>
    <mergeCell ref="E159:H159"/>
    <mergeCell ref="E160:H160"/>
    <mergeCell ref="E161:H161"/>
    <mergeCell ref="E162:H162"/>
    <mergeCell ref="E163:H163"/>
    <mergeCell ref="E164:H164"/>
    <mergeCell ref="E165:H165"/>
    <mergeCell ref="E166:H166"/>
    <mergeCell ref="E167:H167"/>
    <mergeCell ref="E168:H168"/>
    <mergeCell ref="E169:H169"/>
    <mergeCell ref="E170:H170"/>
    <mergeCell ref="E171:H171"/>
    <mergeCell ref="E172:H172"/>
    <mergeCell ref="E173:H173"/>
    <mergeCell ref="E174:H174"/>
    <mergeCell ref="E175:H175"/>
    <mergeCell ref="E176:H176"/>
    <mergeCell ref="E177:H177"/>
    <mergeCell ref="E178:H178"/>
    <mergeCell ref="E179:H179"/>
    <mergeCell ref="E180:H180"/>
    <mergeCell ref="E181:H181"/>
    <mergeCell ref="E182:H182"/>
    <mergeCell ref="E183:H183"/>
    <mergeCell ref="E184:H184"/>
    <mergeCell ref="E185:H185"/>
    <mergeCell ref="E186:H186"/>
    <mergeCell ref="E187:H187"/>
    <mergeCell ref="E188:H188"/>
    <mergeCell ref="E189:H189"/>
    <mergeCell ref="E190:H190"/>
    <mergeCell ref="E191:H191"/>
    <mergeCell ref="E192:H192"/>
    <mergeCell ref="E193:H193"/>
    <mergeCell ref="E194:H194"/>
    <mergeCell ref="E195:H195"/>
    <mergeCell ref="E196:H196"/>
    <mergeCell ref="E197:H197"/>
    <mergeCell ref="E198:H198"/>
    <mergeCell ref="E199:H199"/>
    <mergeCell ref="E200:H200"/>
    <mergeCell ref="E201:H201"/>
    <mergeCell ref="E202:H202"/>
    <mergeCell ref="E203:H203"/>
    <mergeCell ref="E204:H204"/>
    <mergeCell ref="E205:H205"/>
    <mergeCell ref="E206:H206"/>
    <mergeCell ref="E207:H207"/>
    <mergeCell ref="E208:H208"/>
    <mergeCell ref="E209:H209"/>
    <mergeCell ref="E210:H210"/>
    <mergeCell ref="E211:H211"/>
    <mergeCell ref="E212:H212"/>
    <mergeCell ref="E213:H213"/>
    <mergeCell ref="E214:H214"/>
    <mergeCell ref="E215:H215"/>
    <mergeCell ref="E216:H216"/>
    <mergeCell ref="E217:H217"/>
    <mergeCell ref="E218:H218"/>
    <mergeCell ref="E219:H219"/>
    <mergeCell ref="E220:H220"/>
    <mergeCell ref="E221:H221"/>
    <mergeCell ref="E222:H222"/>
    <mergeCell ref="E223:H223"/>
    <mergeCell ref="E224:H224"/>
    <mergeCell ref="E225:H225"/>
    <mergeCell ref="E226:H226"/>
    <mergeCell ref="E227:H227"/>
    <mergeCell ref="E228:H228"/>
    <mergeCell ref="E229:H229"/>
    <mergeCell ref="E230:H230"/>
    <mergeCell ref="E231:H231"/>
    <mergeCell ref="E232:H232"/>
    <mergeCell ref="E233:H233"/>
    <mergeCell ref="E234:H234"/>
    <mergeCell ref="E235:H235"/>
    <mergeCell ref="E236:H236"/>
    <mergeCell ref="E237:H237"/>
    <mergeCell ref="E238:H238"/>
    <mergeCell ref="E239:H239"/>
    <mergeCell ref="E240:H240"/>
    <mergeCell ref="E241:H241"/>
    <mergeCell ref="E242:H242"/>
    <mergeCell ref="E243:H243"/>
    <mergeCell ref="E244:H244"/>
    <mergeCell ref="E245:H245"/>
    <mergeCell ref="E246:H246"/>
    <mergeCell ref="E247:H247"/>
    <mergeCell ref="E248:H248"/>
    <mergeCell ref="E249:H249"/>
    <mergeCell ref="E250:H250"/>
    <mergeCell ref="E251:H251"/>
    <mergeCell ref="E252:H252"/>
    <mergeCell ref="E253:H253"/>
    <mergeCell ref="E254:H254"/>
    <mergeCell ref="E255:H255"/>
    <mergeCell ref="E256:H256"/>
    <mergeCell ref="E257:H257"/>
    <mergeCell ref="E258:H258"/>
    <mergeCell ref="E259:H259"/>
    <mergeCell ref="E260:H260"/>
    <mergeCell ref="E261:H261"/>
    <mergeCell ref="E262:H262"/>
    <mergeCell ref="E263:H263"/>
    <mergeCell ref="E264:H264"/>
    <mergeCell ref="E265:H265"/>
    <mergeCell ref="E266:H266"/>
    <mergeCell ref="E267:H267"/>
    <mergeCell ref="E268:H268"/>
    <mergeCell ref="E269:H269"/>
    <mergeCell ref="E270:H270"/>
    <mergeCell ref="E271:H271"/>
    <mergeCell ref="E272:H272"/>
    <mergeCell ref="E273:H273"/>
    <mergeCell ref="E274:H274"/>
    <mergeCell ref="E275:H275"/>
    <mergeCell ref="E276:H276"/>
    <mergeCell ref="E277:H277"/>
    <mergeCell ref="E278:H278"/>
    <mergeCell ref="E279:H279"/>
    <mergeCell ref="E280:H280"/>
    <mergeCell ref="E281:H281"/>
    <mergeCell ref="E282:H282"/>
    <mergeCell ref="E283:H283"/>
    <mergeCell ref="E284:H284"/>
    <mergeCell ref="E285:H285"/>
    <mergeCell ref="E286:H286"/>
    <mergeCell ref="E287:H287"/>
    <mergeCell ref="E288:H288"/>
    <mergeCell ref="E289:H289"/>
    <mergeCell ref="E290:H290"/>
    <mergeCell ref="E291:H291"/>
    <mergeCell ref="E292:H292"/>
    <mergeCell ref="E293:H293"/>
    <mergeCell ref="E294:H294"/>
    <mergeCell ref="E295:H295"/>
    <mergeCell ref="E296:H296"/>
    <mergeCell ref="E297:H297"/>
    <mergeCell ref="E298:H298"/>
    <mergeCell ref="E299:H299"/>
    <mergeCell ref="E300:H300"/>
    <mergeCell ref="E301:H301"/>
    <mergeCell ref="E302:H302"/>
    <mergeCell ref="E303:H303"/>
    <mergeCell ref="E304:H304"/>
    <mergeCell ref="E305:H305"/>
    <mergeCell ref="E306:H306"/>
    <mergeCell ref="E307:H307"/>
    <mergeCell ref="E308:H308"/>
    <mergeCell ref="E309:H309"/>
    <mergeCell ref="E310:H310"/>
    <mergeCell ref="E311:H311"/>
    <mergeCell ref="E312:H312"/>
    <mergeCell ref="E313:H313"/>
    <mergeCell ref="E314:H314"/>
    <mergeCell ref="E315:H315"/>
    <mergeCell ref="E316:H316"/>
    <mergeCell ref="E317:H317"/>
    <mergeCell ref="E318:H318"/>
    <mergeCell ref="E319:H319"/>
    <mergeCell ref="E320:H320"/>
    <mergeCell ref="E321:H321"/>
    <mergeCell ref="E322:H322"/>
    <mergeCell ref="E323:H323"/>
    <mergeCell ref="E324:H324"/>
    <mergeCell ref="E325:H325"/>
    <mergeCell ref="E326:H326"/>
    <mergeCell ref="E327:H327"/>
    <mergeCell ref="E328:H328"/>
    <mergeCell ref="E329:H329"/>
    <mergeCell ref="E330:H330"/>
    <mergeCell ref="E331:H331"/>
    <mergeCell ref="E332:H332"/>
    <mergeCell ref="E333:H333"/>
    <mergeCell ref="E334:H334"/>
    <mergeCell ref="E335:H335"/>
    <mergeCell ref="E336:H336"/>
    <mergeCell ref="E337:H337"/>
    <mergeCell ref="E338:H338"/>
    <mergeCell ref="E339:H339"/>
    <mergeCell ref="E340:H340"/>
    <mergeCell ref="E341:H341"/>
    <mergeCell ref="E342:H342"/>
    <mergeCell ref="E343:H343"/>
    <mergeCell ref="E344:H344"/>
    <mergeCell ref="E345:H345"/>
    <mergeCell ref="E346:H346"/>
    <mergeCell ref="E347:H347"/>
    <mergeCell ref="E691:H691"/>
    <mergeCell ref="E692:H692"/>
    <mergeCell ref="E693:H693"/>
    <mergeCell ref="E694:H694"/>
    <mergeCell ref="E695:H695"/>
    <mergeCell ref="E696:H696"/>
    <mergeCell ref="E697:H697"/>
    <mergeCell ref="E698:H698"/>
    <mergeCell ref="E699:H699"/>
    <mergeCell ref="E700:H700"/>
    <mergeCell ref="E701:H701"/>
    <mergeCell ref="E702:H702"/>
    <mergeCell ref="E703:H703"/>
    <mergeCell ref="E704:H704"/>
    <mergeCell ref="E705:H705"/>
    <mergeCell ref="E706:H706"/>
    <mergeCell ref="E707:H707"/>
    <mergeCell ref="E708:H708"/>
    <mergeCell ref="E709:H709"/>
    <mergeCell ref="E710:H710"/>
    <mergeCell ref="E711:H711"/>
    <mergeCell ref="E712:H712"/>
    <mergeCell ref="E713:H713"/>
    <mergeCell ref="E714:H714"/>
    <mergeCell ref="E715:H715"/>
    <mergeCell ref="E716:H716"/>
    <mergeCell ref="E717:H717"/>
    <mergeCell ref="E718:H718"/>
    <mergeCell ref="E719:H719"/>
    <mergeCell ref="E720:H720"/>
    <mergeCell ref="E721:H721"/>
    <mergeCell ref="E722:H722"/>
    <mergeCell ref="E723:H723"/>
    <mergeCell ref="E724:H724"/>
    <mergeCell ref="E725:H725"/>
    <mergeCell ref="E726:H726"/>
    <mergeCell ref="E727:H727"/>
    <mergeCell ref="E728:H728"/>
    <mergeCell ref="E729:H729"/>
    <mergeCell ref="E730:H730"/>
    <mergeCell ref="E731:H731"/>
    <mergeCell ref="E732:H732"/>
    <mergeCell ref="E733:H733"/>
    <mergeCell ref="E734:H734"/>
    <mergeCell ref="E735:H735"/>
    <mergeCell ref="E736:H736"/>
    <mergeCell ref="E737:H737"/>
    <mergeCell ref="E738:H738"/>
    <mergeCell ref="E739:H739"/>
    <mergeCell ref="E740:H740"/>
    <mergeCell ref="E741:H741"/>
    <mergeCell ref="E742:H742"/>
    <mergeCell ref="E743:H743"/>
    <mergeCell ref="E744:H744"/>
    <mergeCell ref="E745:H745"/>
    <mergeCell ref="E746:H746"/>
    <mergeCell ref="E747:H747"/>
    <mergeCell ref="E748:H748"/>
    <mergeCell ref="E749:H749"/>
    <mergeCell ref="E750:H750"/>
    <mergeCell ref="E751:H751"/>
    <mergeCell ref="E752:H752"/>
    <mergeCell ref="E753:H753"/>
    <mergeCell ref="E754:H754"/>
    <mergeCell ref="E755:H755"/>
    <mergeCell ref="E756:H756"/>
    <mergeCell ref="E757:H757"/>
    <mergeCell ref="E758:H758"/>
    <mergeCell ref="E759:H759"/>
    <mergeCell ref="E760:H760"/>
    <mergeCell ref="E761:H761"/>
    <mergeCell ref="E762:H762"/>
    <mergeCell ref="E763:H763"/>
    <mergeCell ref="E764:H764"/>
    <mergeCell ref="E765:H765"/>
    <mergeCell ref="E766:H766"/>
    <mergeCell ref="E767:H767"/>
    <mergeCell ref="E768:H768"/>
    <mergeCell ref="E769:H769"/>
    <mergeCell ref="E770:H770"/>
    <mergeCell ref="E771:H771"/>
    <mergeCell ref="E772:H772"/>
    <mergeCell ref="E773:H773"/>
    <mergeCell ref="E774:H774"/>
    <mergeCell ref="E775:H775"/>
    <mergeCell ref="E776:H776"/>
    <mergeCell ref="E777:H777"/>
    <mergeCell ref="E778:H778"/>
    <mergeCell ref="E779:H779"/>
    <mergeCell ref="E780:H780"/>
    <mergeCell ref="E781:H781"/>
    <mergeCell ref="E782:H782"/>
    <mergeCell ref="E783:H783"/>
    <mergeCell ref="E784:H784"/>
    <mergeCell ref="E785:H785"/>
    <mergeCell ref="E786:H786"/>
    <mergeCell ref="E787:H787"/>
    <mergeCell ref="E788:H788"/>
    <mergeCell ref="E789:H789"/>
    <mergeCell ref="E790:H790"/>
    <mergeCell ref="E791:H791"/>
    <mergeCell ref="E792:H792"/>
    <mergeCell ref="E793:H793"/>
    <mergeCell ref="E794:H794"/>
    <mergeCell ref="E795:H795"/>
    <mergeCell ref="E796:H796"/>
    <mergeCell ref="E797:H797"/>
    <mergeCell ref="E798:H798"/>
    <mergeCell ref="E799:H799"/>
    <mergeCell ref="E800:H800"/>
    <mergeCell ref="E801:H801"/>
    <mergeCell ref="E802:H802"/>
    <mergeCell ref="E803:H803"/>
    <mergeCell ref="E804:H804"/>
    <mergeCell ref="E805:H805"/>
    <mergeCell ref="E806:H806"/>
    <mergeCell ref="E807:H807"/>
    <mergeCell ref="E808:H808"/>
    <mergeCell ref="E809:H809"/>
    <mergeCell ref="E810:H810"/>
    <mergeCell ref="E811:H811"/>
    <mergeCell ref="E812:H812"/>
    <mergeCell ref="E813:H813"/>
    <mergeCell ref="E814:H814"/>
    <mergeCell ref="E815:H815"/>
    <mergeCell ref="E816:H816"/>
    <mergeCell ref="E817:H817"/>
    <mergeCell ref="E818:H818"/>
    <mergeCell ref="E819:H819"/>
    <mergeCell ref="E820:H820"/>
    <mergeCell ref="E821:H821"/>
    <mergeCell ref="E822:H822"/>
    <mergeCell ref="E823:H823"/>
    <mergeCell ref="E824:H824"/>
    <mergeCell ref="E825:H825"/>
    <mergeCell ref="E826:H826"/>
    <mergeCell ref="E827:H827"/>
    <mergeCell ref="E828:H828"/>
    <mergeCell ref="E829:H829"/>
    <mergeCell ref="E830:H830"/>
    <mergeCell ref="E831:H831"/>
    <mergeCell ref="E832:H832"/>
    <mergeCell ref="E833:H833"/>
    <mergeCell ref="E834:H834"/>
    <mergeCell ref="E835:H835"/>
    <mergeCell ref="E836:H836"/>
    <mergeCell ref="E837:H837"/>
    <mergeCell ref="E838:H838"/>
    <mergeCell ref="E839:H839"/>
    <mergeCell ref="E840:H840"/>
    <mergeCell ref="E841:H841"/>
    <mergeCell ref="E842:H842"/>
    <mergeCell ref="E843:H843"/>
    <mergeCell ref="E844:H844"/>
    <mergeCell ref="E845:H845"/>
    <mergeCell ref="E846:H846"/>
    <mergeCell ref="E847:H847"/>
    <mergeCell ref="E848:H848"/>
    <mergeCell ref="E849:H849"/>
    <mergeCell ref="E850:H850"/>
    <mergeCell ref="E851:H851"/>
    <mergeCell ref="E852:H852"/>
    <mergeCell ref="E853:H853"/>
    <mergeCell ref="E854:H854"/>
    <mergeCell ref="E855:H855"/>
    <mergeCell ref="E856:H856"/>
    <mergeCell ref="E857:H857"/>
    <mergeCell ref="E858:H858"/>
    <mergeCell ref="E859:H859"/>
    <mergeCell ref="E860:H860"/>
    <mergeCell ref="E861:H861"/>
    <mergeCell ref="E862:H862"/>
    <mergeCell ref="E863:H863"/>
    <mergeCell ref="E864:H864"/>
    <mergeCell ref="E865:H865"/>
    <mergeCell ref="E866:H866"/>
    <mergeCell ref="E867:H867"/>
    <mergeCell ref="E868:H868"/>
    <mergeCell ref="E869:H869"/>
    <mergeCell ref="E870:H870"/>
    <mergeCell ref="E871:H871"/>
    <mergeCell ref="E872:H872"/>
    <mergeCell ref="E873:H873"/>
    <mergeCell ref="E874:H874"/>
    <mergeCell ref="E875:H875"/>
    <mergeCell ref="E876:H876"/>
    <mergeCell ref="E877:H877"/>
    <mergeCell ref="E878:H878"/>
    <mergeCell ref="E879:H879"/>
    <mergeCell ref="E880:H880"/>
    <mergeCell ref="E881:H881"/>
    <mergeCell ref="E882:H882"/>
    <mergeCell ref="E883:H883"/>
    <mergeCell ref="E884:H884"/>
    <mergeCell ref="E885:H885"/>
    <mergeCell ref="E886:H886"/>
    <mergeCell ref="E887:H887"/>
    <mergeCell ref="E888:H888"/>
    <mergeCell ref="E889:H889"/>
    <mergeCell ref="E890:H890"/>
    <mergeCell ref="E891:H891"/>
    <mergeCell ref="E892:H892"/>
    <mergeCell ref="E893:H893"/>
    <mergeCell ref="E894:H894"/>
    <mergeCell ref="E895:H895"/>
    <mergeCell ref="E896:H896"/>
    <mergeCell ref="E897:H897"/>
    <mergeCell ref="E898:H898"/>
    <mergeCell ref="E899:H899"/>
    <mergeCell ref="E900:H900"/>
    <mergeCell ref="E901:H901"/>
    <mergeCell ref="E902:H902"/>
    <mergeCell ref="E903:H903"/>
    <mergeCell ref="E904:H904"/>
    <mergeCell ref="E905:H905"/>
    <mergeCell ref="E906:H906"/>
    <mergeCell ref="E907:H907"/>
    <mergeCell ref="E908:H908"/>
    <mergeCell ref="E909:H909"/>
    <mergeCell ref="E910:H910"/>
    <mergeCell ref="E911:H911"/>
    <mergeCell ref="E912:H912"/>
    <mergeCell ref="E913:H913"/>
    <mergeCell ref="E914:H914"/>
    <mergeCell ref="E915:H915"/>
    <mergeCell ref="E916:H916"/>
    <mergeCell ref="E917:H917"/>
    <mergeCell ref="E918:H918"/>
    <mergeCell ref="E919:H919"/>
    <mergeCell ref="E920:H920"/>
    <mergeCell ref="E921:H921"/>
    <mergeCell ref="E922:H922"/>
    <mergeCell ref="E923:H923"/>
    <mergeCell ref="E924:H924"/>
    <mergeCell ref="E925:H925"/>
    <mergeCell ref="E926:H926"/>
    <mergeCell ref="E927:H927"/>
    <mergeCell ref="E928:H928"/>
    <mergeCell ref="E929:H929"/>
    <mergeCell ref="E930:H930"/>
    <mergeCell ref="E931:H931"/>
    <mergeCell ref="E932:H932"/>
    <mergeCell ref="E933:H933"/>
    <mergeCell ref="E934:H934"/>
    <mergeCell ref="E935:H935"/>
    <mergeCell ref="E992:H992"/>
    <mergeCell ref="E993:H993"/>
    <mergeCell ref="E994:H994"/>
    <mergeCell ref="E995:H995"/>
    <mergeCell ref="E996:H996"/>
    <mergeCell ref="E997:H997"/>
    <mergeCell ref="E998:H998"/>
    <mergeCell ref="E999:H999"/>
    <mergeCell ref="E985:H985"/>
    <mergeCell ref="E986:H986"/>
    <mergeCell ref="E987:H987"/>
    <mergeCell ref="E988:H988"/>
    <mergeCell ref="E989:H989"/>
    <mergeCell ref="E990:H990"/>
    <mergeCell ref="E991:H991"/>
    <mergeCell ref="E936:H936"/>
    <mergeCell ref="E937:H937"/>
    <mergeCell ref="E938:H938"/>
    <mergeCell ref="E939:H939"/>
    <mergeCell ref="E940:H940"/>
    <mergeCell ref="E941:H941"/>
    <mergeCell ref="E942:H942"/>
    <mergeCell ref="E943:H943"/>
    <mergeCell ref="E944:H944"/>
    <mergeCell ref="E945:H945"/>
    <mergeCell ref="E946:H946"/>
    <mergeCell ref="E947:H947"/>
    <mergeCell ref="E948:H948"/>
    <mergeCell ref="E949:H949"/>
    <mergeCell ref="E950:H950"/>
    <mergeCell ref="E951:H951"/>
    <mergeCell ref="E952:H952"/>
    <mergeCell ref="E953:H953"/>
    <mergeCell ref="E954:H954"/>
    <mergeCell ref="E955:H955"/>
    <mergeCell ref="E956:H956"/>
    <mergeCell ref="E957:H957"/>
    <mergeCell ref="E958:H958"/>
    <mergeCell ref="E959:H959"/>
    <mergeCell ref="E960:H960"/>
    <mergeCell ref="E961:H961"/>
    <mergeCell ref="E962:H962"/>
    <mergeCell ref="E963:H963"/>
    <mergeCell ref="E964:H964"/>
    <mergeCell ref="E965:H965"/>
    <mergeCell ref="E966:H966"/>
    <mergeCell ref="E967:H967"/>
    <mergeCell ref="E968:H968"/>
    <mergeCell ref="E969:H969"/>
    <mergeCell ref="E970:H970"/>
    <mergeCell ref="E971:H971"/>
    <mergeCell ref="E972:H972"/>
    <mergeCell ref="E973:H973"/>
    <mergeCell ref="E974:H974"/>
    <mergeCell ref="E975:H975"/>
    <mergeCell ref="E976:H976"/>
    <mergeCell ref="E977:H977"/>
    <mergeCell ref="E978:H978"/>
    <mergeCell ref="E979:H979"/>
    <mergeCell ref="E980:H980"/>
    <mergeCell ref="E981:H981"/>
    <mergeCell ref="E982:H982"/>
    <mergeCell ref="E983:H983"/>
    <mergeCell ref="E984:H984"/>
    <mergeCell ref="E348:H348"/>
    <mergeCell ref="E349:H349"/>
    <mergeCell ref="E350:H350"/>
    <mergeCell ref="E351:H351"/>
    <mergeCell ref="E352:H352"/>
    <mergeCell ref="E353:H353"/>
    <mergeCell ref="E354:H354"/>
    <mergeCell ref="E355:H355"/>
    <mergeCell ref="E356:H356"/>
    <mergeCell ref="E357:H357"/>
    <mergeCell ref="E358:H358"/>
    <mergeCell ref="E359:H359"/>
    <mergeCell ref="E360:H360"/>
    <mergeCell ref="E361:H361"/>
    <mergeCell ref="E362:H362"/>
    <mergeCell ref="E363:H363"/>
    <mergeCell ref="E364:H364"/>
    <mergeCell ref="E365:H365"/>
    <mergeCell ref="E366:H366"/>
    <mergeCell ref="E367:H367"/>
    <mergeCell ref="E368:H368"/>
    <mergeCell ref="E369:H369"/>
    <mergeCell ref="E370:H370"/>
    <mergeCell ref="E371:H371"/>
    <mergeCell ref="E372:H372"/>
    <mergeCell ref="E373:H373"/>
    <mergeCell ref="E374:H374"/>
    <mergeCell ref="E375:H375"/>
    <mergeCell ref="E376:H376"/>
    <mergeCell ref="E377:H377"/>
    <mergeCell ref="E378:H378"/>
    <mergeCell ref="E379:H379"/>
    <mergeCell ref="E380:H380"/>
    <mergeCell ref="E381:H381"/>
    <mergeCell ref="E382:H382"/>
    <mergeCell ref="E383:H383"/>
    <mergeCell ref="E384:H384"/>
    <mergeCell ref="E385:H385"/>
    <mergeCell ref="E386:H386"/>
    <mergeCell ref="E387:H387"/>
    <mergeCell ref="E388:H388"/>
    <mergeCell ref="E389:H389"/>
    <mergeCell ref="E390:H390"/>
    <mergeCell ref="E391:H391"/>
    <mergeCell ref="E392:H392"/>
    <mergeCell ref="E393:H393"/>
    <mergeCell ref="E394:H394"/>
    <mergeCell ref="E395:H395"/>
    <mergeCell ref="E396:H396"/>
    <mergeCell ref="E397:H397"/>
    <mergeCell ref="E398:H398"/>
    <mergeCell ref="E399:H399"/>
    <mergeCell ref="E400:H400"/>
    <mergeCell ref="E401:H401"/>
    <mergeCell ref="E402:H402"/>
    <mergeCell ref="E403:H403"/>
    <mergeCell ref="E404:H404"/>
    <mergeCell ref="E405:H405"/>
    <mergeCell ref="E406:H406"/>
    <mergeCell ref="E407:H407"/>
    <mergeCell ref="E408:H408"/>
    <mergeCell ref="E409:H409"/>
    <mergeCell ref="E410:H410"/>
    <mergeCell ref="E411:H411"/>
    <mergeCell ref="E412:H412"/>
    <mergeCell ref="E413:H413"/>
    <mergeCell ref="E414:H414"/>
    <mergeCell ref="E415:H415"/>
    <mergeCell ref="E416:H416"/>
    <mergeCell ref="E417:H417"/>
    <mergeCell ref="E418:H418"/>
    <mergeCell ref="E419:H419"/>
    <mergeCell ref="E420:H420"/>
    <mergeCell ref="E421:H421"/>
    <mergeCell ref="E422:H422"/>
    <mergeCell ref="E423:H423"/>
    <mergeCell ref="E424:H424"/>
    <mergeCell ref="E425:H425"/>
    <mergeCell ref="E426:H426"/>
    <mergeCell ref="E427:H427"/>
    <mergeCell ref="E428:H428"/>
    <mergeCell ref="E429:H429"/>
    <mergeCell ref="E430:H430"/>
    <mergeCell ref="E431:H431"/>
    <mergeCell ref="E432:H432"/>
    <mergeCell ref="E433:H433"/>
    <mergeCell ref="E434:H434"/>
    <mergeCell ref="E435:H435"/>
    <mergeCell ref="E436:H436"/>
    <mergeCell ref="E437:H437"/>
    <mergeCell ref="E438:H438"/>
    <mergeCell ref="E439:H439"/>
    <mergeCell ref="E440:H440"/>
    <mergeCell ref="E441:H441"/>
    <mergeCell ref="E442:H442"/>
    <mergeCell ref="E443:H443"/>
    <mergeCell ref="E444:H444"/>
    <mergeCell ref="E445:H445"/>
    <mergeCell ref="E446:H446"/>
    <mergeCell ref="E447:H447"/>
    <mergeCell ref="E448:H448"/>
    <mergeCell ref="E449:H449"/>
    <mergeCell ref="E450:H450"/>
    <mergeCell ref="E451:H451"/>
    <mergeCell ref="E452:H452"/>
    <mergeCell ref="E453:H453"/>
    <mergeCell ref="E454:H454"/>
    <mergeCell ref="E455:H455"/>
    <mergeCell ref="E456:H456"/>
    <mergeCell ref="E457:H457"/>
    <mergeCell ref="E458:H458"/>
    <mergeCell ref="E459:H459"/>
    <mergeCell ref="E460:H460"/>
    <mergeCell ref="E461:H461"/>
    <mergeCell ref="E462:H462"/>
    <mergeCell ref="E463:H463"/>
    <mergeCell ref="E464:H464"/>
    <mergeCell ref="E465:H465"/>
    <mergeCell ref="E466:H466"/>
    <mergeCell ref="E467:H467"/>
    <mergeCell ref="E468:H468"/>
    <mergeCell ref="E469:H469"/>
    <mergeCell ref="E470:H470"/>
    <mergeCell ref="E471:H471"/>
    <mergeCell ref="E472:H472"/>
    <mergeCell ref="E473:H473"/>
    <mergeCell ref="E474:H474"/>
    <mergeCell ref="E475:H475"/>
    <mergeCell ref="E476:H476"/>
    <mergeCell ref="E477:H477"/>
    <mergeCell ref="E478:H478"/>
    <mergeCell ref="E479:H479"/>
    <mergeCell ref="E480:H480"/>
    <mergeCell ref="E481:H481"/>
    <mergeCell ref="E482:H482"/>
    <mergeCell ref="E483:H483"/>
    <mergeCell ref="E484:H484"/>
    <mergeCell ref="E485:H485"/>
    <mergeCell ref="E486:H486"/>
    <mergeCell ref="E487:H487"/>
    <mergeCell ref="E488:H488"/>
    <mergeCell ref="E489:H489"/>
    <mergeCell ref="E490:H490"/>
    <mergeCell ref="E491:H491"/>
    <mergeCell ref="E492:H492"/>
    <mergeCell ref="E493:H493"/>
    <mergeCell ref="E494:H494"/>
    <mergeCell ref="E495:H495"/>
    <mergeCell ref="E496:H496"/>
    <mergeCell ref="E497:H497"/>
    <mergeCell ref="E498:H498"/>
    <mergeCell ref="E499:H499"/>
    <mergeCell ref="E500:H500"/>
    <mergeCell ref="E501:H501"/>
    <mergeCell ref="E502:H502"/>
    <mergeCell ref="E503:H503"/>
    <mergeCell ref="E504:H504"/>
    <mergeCell ref="E505:H505"/>
    <mergeCell ref="E506:H506"/>
    <mergeCell ref="E507:H507"/>
    <mergeCell ref="E508:H508"/>
    <mergeCell ref="E509:H509"/>
    <mergeCell ref="E510:H510"/>
    <mergeCell ref="E511:H511"/>
    <mergeCell ref="E512:H512"/>
    <mergeCell ref="E513:H513"/>
    <mergeCell ref="E514:H514"/>
    <mergeCell ref="E515:H515"/>
    <mergeCell ref="E516:H516"/>
    <mergeCell ref="E517:H517"/>
    <mergeCell ref="E518:H518"/>
    <mergeCell ref="E519:H519"/>
    <mergeCell ref="E520:H520"/>
    <mergeCell ref="E521:H521"/>
    <mergeCell ref="E522:H522"/>
    <mergeCell ref="E523:H523"/>
    <mergeCell ref="E524:H524"/>
    <mergeCell ref="E525:H525"/>
    <mergeCell ref="E526:H526"/>
    <mergeCell ref="E527:H527"/>
    <mergeCell ref="E528:H528"/>
    <mergeCell ref="E529:H529"/>
    <mergeCell ref="E530:H530"/>
    <mergeCell ref="E531:H531"/>
    <mergeCell ref="E532:H532"/>
    <mergeCell ref="E533:H533"/>
    <mergeCell ref="E534:H534"/>
    <mergeCell ref="E535:H535"/>
    <mergeCell ref="E536:H536"/>
    <mergeCell ref="E537:H537"/>
    <mergeCell ref="E538:H538"/>
    <mergeCell ref="E539:H539"/>
    <mergeCell ref="E540:H540"/>
    <mergeCell ref="E541:H541"/>
    <mergeCell ref="E542:H542"/>
    <mergeCell ref="E543:H543"/>
    <mergeCell ref="E544:H544"/>
    <mergeCell ref="E545:H545"/>
    <mergeCell ref="E546:H546"/>
    <mergeCell ref="E547:H547"/>
    <mergeCell ref="E548:H548"/>
    <mergeCell ref="E549:H549"/>
    <mergeCell ref="E550:H550"/>
    <mergeCell ref="E551:H551"/>
    <mergeCell ref="E552:H552"/>
    <mergeCell ref="E553:H553"/>
    <mergeCell ref="E554:H554"/>
    <mergeCell ref="E555:H555"/>
    <mergeCell ref="E556:H556"/>
    <mergeCell ref="E557:H557"/>
    <mergeCell ref="E558:H558"/>
    <mergeCell ref="E559:H559"/>
    <mergeCell ref="E560:H560"/>
    <mergeCell ref="E561:H561"/>
    <mergeCell ref="E562:H562"/>
    <mergeCell ref="E563:H563"/>
    <mergeCell ref="E564:H564"/>
    <mergeCell ref="E565:H565"/>
    <mergeCell ref="E566:H566"/>
    <mergeCell ref="E567:H567"/>
    <mergeCell ref="E568:H568"/>
    <mergeCell ref="E569:H569"/>
    <mergeCell ref="E570:H570"/>
    <mergeCell ref="E571:H571"/>
    <mergeCell ref="E572:H572"/>
    <mergeCell ref="E573:H573"/>
    <mergeCell ref="E574:H574"/>
    <mergeCell ref="E575:H575"/>
    <mergeCell ref="E576:H576"/>
    <mergeCell ref="E577:H577"/>
    <mergeCell ref="E578:H578"/>
    <mergeCell ref="E579:H579"/>
    <mergeCell ref="E580:H580"/>
    <mergeCell ref="E581:H581"/>
    <mergeCell ref="E582:H582"/>
    <mergeCell ref="E583:H583"/>
    <mergeCell ref="E584:H584"/>
    <mergeCell ref="E585:H585"/>
    <mergeCell ref="E586:H586"/>
    <mergeCell ref="E587:H587"/>
    <mergeCell ref="E588:H588"/>
    <mergeCell ref="E589:H589"/>
    <mergeCell ref="E590:H590"/>
    <mergeCell ref="E591:H591"/>
    <mergeCell ref="E592:H592"/>
    <mergeCell ref="E593:H593"/>
    <mergeCell ref="E594:H594"/>
    <mergeCell ref="E595:H595"/>
    <mergeCell ref="E596:H596"/>
    <mergeCell ref="E597:H597"/>
    <mergeCell ref="E598:H598"/>
    <mergeCell ref="E599:H599"/>
    <mergeCell ref="E600:H600"/>
    <mergeCell ref="E601:H601"/>
    <mergeCell ref="E602:H602"/>
    <mergeCell ref="E603:H603"/>
    <mergeCell ref="E604:H604"/>
    <mergeCell ref="E605:H605"/>
    <mergeCell ref="E606:H606"/>
    <mergeCell ref="E607:H607"/>
    <mergeCell ref="E608:H608"/>
    <mergeCell ref="E609:H609"/>
    <mergeCell ref="E610:H610"/>
    <mergeCell ref="E611:H611"/>
    <mergeCell ref="E612:H612"/>
    <mergeCell ref="E613:H613"/>
    <mergeCell ref="E614:H614"/>
    <mergeCell ref="E615:H615"/>
    <mergeCell ref="E616:H616"/>
    <mergeCell ref="E617:H617"/>
    <mergeCell ref="E618:H618"/>
    <mergeCell ref="E619:H619"/>
    <mergeCell ref="E620:H620"/>
    <mergeCell ref="E621:H621"/>
    <mergeCell ref="E622:H622"/>
    <mergeCell ref="E623:H623"/>
    <mergeCell ref="E624:H624"/>
    <mergeCell ref="E625:H625"/>
    <mergeCell ref="E626:H626"/>
    <mergeCell ref="E627:H627"/>
    <mergeCell ref="E628:H628"/>
    <mergeCell ref="E629:H629"/>
    <mergeCell ref="E630:H630"/>
    <mergeCell ref="E631:H631"/>
    <mergeCell ref="E632:H632"/>
    <mergeCell ref="E633:H633"/>
    <mergeCell ref="E634:H634"/>
    <mergeCell ref="E635:H635"/>
    <mergeCell ref="E636:H636"/>
    <mergeCell ref="E637:H637"/>
    <mergeCell ref="E638:H638"/>
    <mergeCell ref="E639:H639"/>
    <mergeCell ref="E640:H640"/>
    <mergeCell ref="E641:H641"/>
    <mergeCell ref="E642:H642"/>
    <mergeCell ref="E643:H643"/>
    <mergeCell ref="E644:H644"/>
    <mergeCell ref="E645:H645"/>
    <mergeCell ref="E646:H646"/>
    <mergeCell ref="E647:H647"/>
    <mergeCell ref="E648:H648"/>
    <mergeCell ref="E649:H649"/>
    <mergeCell ref="E650:H650"/>
    <mergeCell ref="E651:H651"/>
    <mergeCell ref="E652:H652"/>
    <mergeCell ref="E653:H653"/>
    <mergeCell ref="E654:H654"/>
    <mergeCell ref="E655:H655"/>
    <mergeCell ref="E656:H656"/>
    <mergeCell ref="E657:H657"/>
    <mergeCell ref="E658:H658"/>
    <mergeCell ref="E659:H659"/>
    <mergeCell ref="E660:H660"/>
    <mergeCell ref="E661:H661"/>
    <mergeCell ref="E662:H662"/>
    <mergeCell ref="E663:H663"/>
    <mergeCell ref="E664:H664"/>
    <mergeCell ref="E665:H665"/>
    <mergeCell ref="E666:H666"/>
    <mergeCell ref="E667:H667"/>
    <mergeCell ref="E668:H668"/>
    <mergeCell ref="E669:H669"/>
    <mergeCell ref="E670:H670"/>
    <mergeCell ref="E671:H671"/>
    <mergeCell ref="E672:H672"/>
    <mergeCell ref="E673:H673"/>
    <mergeCell ref="E674:H674"/>
    <mergeCell ref="E675:H675"/>
    <mergeCell ref="E676:H676"/>
    <mergeCell ref="E677:H677"/>
    <mergeCell ref="E678:H678"/>
    <mergeCell ref="E679:H679"/>
    <mergeCell ref="E680:H680"/>
    <mergeCell ref="E681:H681"/>
    <mergeCell ref="E682:H682"/>
    <mergeCell ref="E683:H683"/>
    <mergeCell ref="E684:H684"/>
    <mergeCell ref="E685:H685"/>
    <mergeCell ref="E686:H686"/>
    <mergeCell ref="E687:H687"/>
    <mergeCell ref="E688:H688"/>
    <mergeCell ref="E689:H689"/>
    <mergeCell ref="E690:H690"/>
  </mergeCells>
  <hyperlinks>
    <hyperlink r:id="rId1" ref="G3"/>
    <hyperlink r:id="rId2" ref="G4"/>
    <hyperlink r:id="rId3" ref="D9"/>
    <hyperlink r:id="rId4" ref="D10"/>
    <hyperlink r:id="rId5" ref="D11"/>
    <hyperlink r:id="rId6" ref="D15"/>
    <hyperlink r:id="rId7" ref="D16"/>
    <hyperlink r:id="rId8" ref="D17"/>
    <hyperlink r:id="rId9" ref="D18"/>
    <hyperlink r:id="rId10" ref="D20"/>
    <hyperlink r:id="rId11" ref="D21"/>
    <hyperlink r:id="rId12" ref="D22"/>
    <hyperlink r:id="rId13" ref="D23"/>
    <hyperlink r:id="rId14" ref="D24"/>
    <hyperlink r:id="rId15" ref="D25"/>
    <hyperlink r:id="rId16" ref="D26"/>
    <hyperlink r:id="rId17" ref="D28"/>
    <hyperlink r:id="rId18" ref="D32"/>
    <hyperlink r:id="rId19" ref="D34"/>
    <hyperlink r:id="rId20" ref="D37"/>
    <hyperlink r:id="rId21" ref="D38"/>
    <hyperlink r:id="rId22" ref="D39"/>
    <hyperlink r:id="rId23" ref="D42"/>
    <hyperlink r:id="rId24" ref="D43"/>
    <hyperlink r:id="rId25" ref="D44"/>
    <hyperlink r:id="rId26" ref="D45"/>
    <hyperlink r:id="rId27" ref="D47"/>
    <hyperlink r:id="rId28" ref="D48"/>
    <hyperlink r:id="rId29" ref="D50"/>
    <hyperlink r:id="rId30" ref="D51"/>
    <hyperlink r:id="rId31" ref="D52"/>
    <hyperlink r:id="rId32" ref="D53"/>
    <hyperlink r:id="rId33" ref="D54"/>
    <hyperlink r:id="rId34" ref="D55"/>
    <hyperlink r:id="rId35" ref="D56"/>
    <hyperlink r:id="rId36" ref="D58"/>
    <hyperlink r:id="rId37" ref="D59"/>
    <hyperlink r:id="rId38" ref="D61"/>
    <hyperlink r:id="rId39" ref="D63"/>
    <hyperlink r:id="rId40" ref="D64"/>
    <hyperlink r:id="rId41" ref="D65"/>
    <hyperlink r:id="rId42" ref="D66"/>
    <hyperlink r:id="rId43" ref="D67"/>
    <hyperlink r:id="rId44" ref="D69"/>
    <hyperlink r:id="rId45" ref="D70"/>
    <hyperlink r:id="rId46" ref="D71"/>
    <hyperlink r:id="rId47" ref="D72"/>
    <hyperlink r:id="rId48" ref="D73"/>
    <hyperlink r:id="rId49" ref="D74"/>
    <hyperlink r:id="rId50" ref="D75"/>
    <hyperlink r:id="rId51" ref="D78"/>
    <hyperlink r:id="rId52" ref="D79"/>
    <hyperlink r:id="rId53" ref="D80"/>
    <hyperlink r:id="rId54" ref="D83"/>
    <hyperlink r:id="rId55" ref="D84"/>
    <hyperlink r:id="rId56" ref="D92"/>
    <hyperlink r:id="rId57" ref="D94"/>
    <hyperlink r:id="rId58" ref="D95"/>
    <hyperlink r:id="rId59" ref="D96"/>
    <hyperlink r:id="rId60" ref="D97"/>
    <hyperlink r:id="rId61" ref="D98"/>
    <hyperlink r:id="rId62" ref="D101"/>
    <hyperlink r:id="rId63" ref="D103"/>
    <hyperlink r:id="rId64" ref="D106"/>
    <hyperlink r:id="rId65" ref="D108"/>
    <hyperlink r:id="rId66" ref="D109"/>
    <hyperlink r:id="rId67" ref="D110"/>
    <hyperlink r:id="rId68" ref="D111"/>
    <hyperlink r:id="rId69" ref="D112"/>
    <hyperlink r:id="rId70" ref="D114"/>
    <hyperlink r:id="rId71" ref="D115"/>
    <hyperlink r:id="rId72" ref="D117"/>
    <hyperlink r:id="rId73" ref="D118"/>
    <hyperlink r:id="rId74" ref="D123"/>
  </hyperlinks>
  <drawing r:id="rId75"/>
</worksheet>
</file>